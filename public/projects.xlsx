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<sst xmlns="http://schemas.openxmlformats.org/spreadsheetml/2006/main" count="253" uniqueCount="87">
  <si>
    <t>Project</t>
  </si>
  <si>
    <t>Type</t>
  </si>
  <si>
    <t>BUA</t>
  </si>
  <si>
    <t>Phase</t>
  </si>
  <si>
    <t>Plan</t>
  </si>
  <si>
    <t>Years</t>
  </si>
  <si>
    <t>Discount %</t>
  </si>
  <si>
    <t>Down Payment Type</t>
  </si>
  <si>
    <t>Down Payment 1 %</t>
  </si>
  <si>
    <t>Down Payment 2 %</t>
  </si>
  <si>
    <t>DP2 Due (months)</t>
  </si>
  <si>
    <t>Installments Count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</si>
  <si>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</si>
  <si>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</si>
  <si>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</si>
  <si>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</si>
  <si>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</si>
  <si>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</si>
  <si>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</si>
  <si>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YOUD</t>
  </si>
  <si>
    <t>YOUD &amp; YOUD EL BAHR</t>
  </si>
  <si>
    <t>5% DP &amp; 5% After 3 Months &amp; 8 Years</t>
  </si>
  <si>
    <t>Original Price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</si>
  <si>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</si>
  <si>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</si>
  <si>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</si>
  <si>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</si>
  <si>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</si>
  <si>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</si>
  <si>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</si>
  <si>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</si>
  <si>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</si>
  <si>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</si>
  <si>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</si>
  <si>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RTM</t>
  </si>
  <si>
    <t>10% DP over 2 years</t>
  </si>
  <si>
    <t>7.5% DP &amp; 7.5% After 3 months over 3 years</t>
  </si>
  <si>
    <t>10% DP &amp; 10% After 3 months over 4 years</t>
  </si>
  <si>
    <t xml:space="preserve">12.5% DP &amp; 12.5% After 3 months over 5 years </t>
  </si>
  <si>
    <t xml:space="preserve">15% DP &amp; 15% After 3 months over 6 years </t>
  </si>
  <si>
    <t>17.5% DP &amp; 17.5% After 3 months over 7 years</t>
  </si>
  <si>
    <t>20% DP &amp; 20% After 3 months over 8 years</t>
  </si>
  <si>
    <t>Cash discount 15%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</si>
  <si>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</si>
  <si>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</si>
  <si>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</si>
  <si>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</si>
  <si>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</si>
  <si>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</si>
  <si>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</si>
  <si>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</si>
  <si>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</si>
  <si>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</si>
  <si>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Setting</t>
  </si>
  <si>
    <t>Value</t>
  </si>
  <si>
    <t>Company Name</t>
  </si>
  <si>
    <t>Alahly Sabbour</t>
  </si>
  <si>
    <t>Currency</t>
  </si>
  <si>
    <t>EGP</t>
  </si>
  <si>
    <t>How to fill the Projects sheet</t>
  </si>
  <si>
    <t/>
  </si>
  <si>
    <t>Each row is ONE payment plan. Rows with a blank Project cell belong to the project above them.</t>
  </si>
  <si>
    <t>كل صف = نظام سداد واحد. لو خلية المشروع فاضية، الصف بيتبع المشروع اللي فوقه.</t>
  </si>
  <si>
    <t>All % columns are plain numbers in percent units: 10 means 10%, 0.99 means 0.99%.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</si>
  <si>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</si>
  <si>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</si>
  <si>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</si>
  <si>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Column</t>
  </si>
  <si>
    <t>Meaning / المعنى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</si>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</sst>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</v>
      </c>
      <c r="T1" s="1" t="s">
        <v>18</v>
      </c>
    </row>
    <row r="2">
      <c r="A2" s="1" t="s">
        <v>19</v>
      </c>
      <c r="B2" s="2" t="s">
        <v>20</v>
      </c>
      <c r="E2" s="1" t="s">
        <v>21</v>
      </c>
      <c r="F2" s="1">
        <v>8.0</v>
      </c>
      <c r="G2" s="1">
        <v>0.0</v>
      </c>
      <c r="H2" s="1" t="s">
        <v>22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>4*12</f>
        <v>48</v>
      </c>
      <c r="Q2" s="1">
        <v>30.0</v>
      </c>
      <c r="R2" s="1">
        <f t="shared" ref="R2:R10" si="1">P2-6</f>
        <v>42</v>
      </c>
      <c r="S2" s="1">
        <v>6.0</v>
      </c>
      <c r="T2" s="1" t="s">
        <v>23</v>
      </c>
    </row>
    <row r="3">
      <c r="B3" s="2" t="s">
        <v>20</v>
      </c>
      <c r="E3" s="1" t="s">
        <v>24</v>
      </c>
      <c r="F3" s="1">
        <v>8.0</v>
      </c>
      <c r="G3" s="1">
        <v>10.0</v>
      </c>
      <c r="H3" s="1" t="s">
        <v>22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ref="P3:P4" si="2">12*4</f>
        <v>48</v>
      </c>
      <c r="Q3" s="1">
        <v>30.0</v>
      </c>
      <c r="R3" s="1">
        <f t="shared" si="1"/>
        <v>42</v>
      </c>
      <c r="S3" s="1">
        <v>6.0</v>
      </c>
      <c r="T3" s="1" t="s">
        <v>23</v>
      </c>
    </row>
    <row r="4">
      <c r="B4" s="2" t="s">
        <v>20</v>
      </c>
      <c r="E4" s="1" t="s">
        <v>25</v>
      </c>
      <c r="F4" s="1">
        <v>8.0</v>
      </c>
      <c r="G4" s="1">
        <v>15.0</v>
      </c>
      <c r="H4" s="1" t="s">
        <v>22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2"/>
        <v>48</v>
      </c>
      <c r="Q4" s="1">
        <v>30.0</v>
      </c>
      <c r="R4" s="1">
        <f t="shared" si="1"/>
        <v>42</v>
      </c>
      <c r="S4" s="1">
        <v>6.0</v>
      </c>
      <c r="T4" s="1" t="s">
        <v>23</v>
      </c>
    </row>
    <row r="5">
      <c r="B5" s="2" t="s">
        <v>20</v>
      </c>
      <c r="E5" s="1" t="s">
        <v>26</v>
      </c>
      <c r="F5" s="1">
        <v>8.0</v>
      </c>
      <c r="G5" s="1">
        <v>20.0</v>
      </c>
      <c r="H5" s="1" t="s">
        <v>22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1">
        <v>36.0</v>
      </c>
      <c r="Q5" s="1">
        <v>18.0</v>
      </c>
      <c r="R5" s="1">
        <f t="shared" si="1"/>
        <v>30</v>
      </c>
      <c r="S5" s="1">
        <v>6.0</v>
      </c>
      <c r="T5" s="1" t="s">
        <v>23</v>
      </c>
    </row>
    <row r="6">
      <c r="B6" s="2" t="s">
        <v>20</v>
      </c>
      <c r="E6" s="1" t="s">
        <v>27</v>
      </c>
      <c r="F6" s="1">
        <v>8.0</v>
      </c>
      <c r="G6" s="1">
        <v>25.0</v>
      </c>
      <c r="H6" s="1" t="s">
        <v>22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1">
        <v>36.0</v>
      </c>
      <c r="Q6" s="1">
        <v>18.0</v>
      </c>
      <c r="R6" s="1">
        <f t="shared" si="1"/>
        <v>30</v>
      </c>
      <c r="S6" s="1">
        <v>6.0</v>
      </c>
      <c r="T6" s="1" t="s">
        <v>23</v>
      </c>
    </row>
    <row r="7">
      <c r="B7" s="2" t="s">
        <v>20</v>
      </c>
      <c r="E7" s="1" t="s">
        <v>28</v>
      </c>
      <c r="F7" s="1">
        <v>8.0</v>
      </c>
      <c r="G7" s="1">
        <v>30.0</v>
      </c>
      <c r="H7" s="1" t="s">
        <v>22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1">
        <v>36.0</v>
      </c>
      <c r="Q7" s="1">
        <v>18.0</v>
      </c>
      <c r="R7" s="1">
        <f t="shared" si="1"/>
        <v>30</v>
      </c>
      <c r="S7" s="1">
        <v>6.0</v>
      </c>
      <c r="T7" s="1" t="s">
        <v>23</v>
      </c>
    </row>
    <row r="8">
      <c r="B8" s="2" t="s">
        <v>20</v>
      </c>
      <c r="E8" s="1" t="s">
        <v>29</v>
      </c>
      <c r="F8" s="1">
        <v>8.0</v>
      </c>
      <c r="G8" s="1">
        <v>35.0</v>
      </c>
      <c r="H8" s="1" t="s">
        <v>22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1">
        <v>36.0</v>
      </c>
      <c r="Q8" s="1">
        <v>18.0</v>
      </c>
      <c r="R8" s="1">
        <f t="shared" si="1"/>
        <v>30</v>
      </c>
      <c r="S8" s="1">
        <v>6.0</v>
      </c>
      <c r="T8" s="1" t="s">
        <v>23</v>
      </c>
    </row>
    <row r="9">
      <c r="B9" s="2" t="s">
        <v>20</v>
      </c>
      <c r="E9" s="1" t="s">
        <v>30</v>
      </c>
      <c r="F9" s="1">
        <v>8.0</v>
      </c>
      <c r="G9" s="1">
        <v>40.0</v>
      </c>
      <c r="H9" s="1" t="s">
        <v>22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1">
        <v>36.0</v>
      </c>
      <c r="Q9" s="1">
        <v>18.0</v>
      </c>
      <c r="R9" s="1">
        <f t="shared" si="1"/>
        <v>30</v>
      </c>
      <c r="S9" s="1">
        <v>6.0</v>
      </c>
      <c r="T9" s="1" t="s">
        <v>23</v>
      </c>
    </row>
    <row r="10">
      <c r="B10" s="2" t="s">
        <v>20</v>
      </c>
      <c r="E10" s="1" t="s">
        <v>31</v>
      </c>
      <c r="F10" s="1">
        <v>8.0</v>
      </c>
      <c r="G10" s="1">
        <v>45.0</v>
      </c>
      <c r="H10" s="1" t="s">
        <v>22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1">
        <v>36.0</v>
      </c>
      <c r="Q10" s="1">
        <v>18.0</v>
      </c>
      <c r="R10" s="1">
        <f t="shared" si="1"/>
        <v>30</v>
      </c>
      <c r="S10" s="1">
        <v>6.0</v>
      </c>
      <c r="T10" s="1" t="s">
        <v>23</v>
      </c>
    </row>
    <row r="11">
      <c r="B11" s="2" t="s">
        <v>20</v>
      </c>
      <c r="D11" s="1" t="s">
        <v>32</v>
      </c>
      <c r="E11" s="1" t="s">
        <v>33</v>
      </c>
      <c r="F11" s="1">
        <v>0.0</v>
      </c>
      <c r="G11" s="1">
        <v>50.0</v>
      </c>
      <c r="H11" s="1" t="s">
        <v>22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2">
        <v>6.0</v>
      </c>
      <c r="R11" s="2">
        <v>18.0</v>
      </c>
      <c r="S11" s="1">
        <v>6.0</v>
      </c>
      <c r="T11" s="1" t="s">
        <v>23</v>
      </c>
    </row>
    <row r="12">
      <c r="B12" s="2" t="s">
        <v>20</v>
      </c>
      <c r="D12" s="2">
        <v>4.0</v>
      </c>
      <c r="E12" s="1" t="s">
        <v>33</v>
      </c>
      <c r="F12" s="1">
        <v>0.0</v>
      </c>
      <c r="G12" s="1">
        <v>50.0</v>
      </c>
      <c r="H12" s="1" t="s">
        <v>22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>P12-6</f>
        <v>30</v>
      </c>
      <c r="S12" s="1">
        <v>6.0</v>
      </c>
      <c r="T12" s="1" t="s">
        <v>23</v>
      </c>
    </row>
    <row r="13">
      <c r="B13" s="1" t="s">
        <v>34</v>
      </c>
      <c r="E13" s="1" t="s">
        <v>35</v>
      </c>
      <c r="F13" s="1">
        <v>2.0</v>
      </c>
      <c r="G13" s="1">
        <v>0.0</v>
      </c>
      <c r="H13" s="1" t="s">
        <v>22</v>
      </c>
      <c r="I13" s="1">
        <v>10.0</v>
      </c>
      <c r="J13" s="1">
        <v>0.0</v>
      </c>
      <c r="K13" s="1">
        <v>0.0</v>
      </c>
      <c r="L13" s="1">
        <v>8.0</v>
      </c>
      <c r="M13" s="1">
        <v>3.0</v>
      </c>
      <c r="N13" s="1">
        <v>3.0</v>
      </c>
      <c r="O13" s="1">
        <v>10.0</v>
      </c>
      <c r="P13" s="1">
        <v>0.0</v>
      </c>
      <c r="Q13" s="1">
        <v>0.0</v>
      </c>
      <c r="R13" s="1">
        <v>9.0</v>
      </c>
      <c r="S13" s="1">
        <v>3.0</v>
      </c>
      <c r="T13" s="1" t="s">
        <v>23</v>
      </c>
    </row>
    <row r="14">
      <c r="B14" s="1" t="s">
        <v>34</v>
      </c>
      <c r="E14" s="1" t="s">
        <v>36</v>
      </c>
      <c r="F14" s="1">
        <v>3.0</v>
      </c>
      <c r="G14" s="1">
        <v>0.0</v>
      </c>
      <c r="H14" s="1" t="s">
        <v>22</v>
      </c>
      <c r="I14" s="1">
        <v>7.5</v>
      </c>
      <c r="J14" s="1">
        <v>7.5</v>
      </c>
      <c r="K14" s="1">
        <v>3.0</v>
      </c>
      <c r="L14" s="1">
        <f>3*4-1</f>
        <v>11</v>
      </c>
      <c r="M14" s="1">
        <v>3.0</v>
      </c>
      <c r="N14" s="1">
        <v>6.0</v>
      </c>
      <c r="O14" s="1">
        <v>10.0</v>
      </c>
      <c r="P14" s="1">
        <v>0.0</v>
      </c>
      <c r="Q14" s="1">
        <v>0.0</v>
      </c>
      <c r="R14" s="1">
        <v>9.0</v>
      </c>
      <c r="S14" s="1">
        <v>3.0</v>
      </c>
      <c r="T14" s="1" t="s">
        <v>23</v>
      </c>
    </row>
    <row r="15">
      <c r="B15" s="1" t="s">
        <v>34</v>
      </c>
      <c r="E15" s="1" t="s">
        <v>37</v>
      </c>
      <c r="F15" s="1">
        <v>4.0</v>
      </c>
      <c r="G15" s="1">
        <v>0.0</v>
      </c>
      <c r="H15" s="1" t="s">
        <v>22</v>
      </c>
      <c r="I15" s="1">
        <v>10.0</v>
      </c>
      <c r="J15" s="1">
        <v>10.0</v>
      </c>
      <c r="K15" s="1">
        <v>3.0</v>
      </c>
      <c r="L15" s="1">
        <f>4*4-1</f>
        <v>15</v>
      </c>
      <c r="M15" s="1">
        <v>3.0</v>
      </c>
      <c r="N15" s="1">
        <v>6.0</v>
      </c>
      <c r="O15" s="1">
        <v>10.0</v>
      </c>
      <c r="P15" s="1">
        <v>0.0</v>
      </c>
      <c r="Q15" s="1">
        <v>0.0</v>
      </c>
      <c r="R15" s="1">
        <v>9.0</v>
      </c>
      <c r="S15" s="1">
        <v>3.0</v>
      </c>
      <c r="T15" s="1" t="s">
        <v>23</v>
      </c>
    </row>
    <row r="16">
      <c r="B16" s="1" t="s">
        <v>34</v>
      </c>
      <c r="E16" s="1" t="s">
        <v>38</v>
      </c>
      <c r="F16" s="1">
        <v>5.0</v>
      </c>
      <c r="G16" s="1">
        <v>0.0</v>
      </c>
      <c r="H16" s="1" t="s">
        <v>22</v>
      </c>
      <c r="I16" s="1">
        <v>12.5</v>
      </c>
      <c r="J16" s="1">
        <v>12.5</v>
      </c>
      <c r="K16" s="1">
        <v>3.0</v>
      </c>
      <c r="L16" s="1">
        <f>5*4-1</f>
        <v>19</v>
      </c>
      <c r="M16" s="1">
        <v>3.0</v>
      </c>
      <c r="N16" s="1">
        <v>6.0</v>
      </c>
      <c r="O16" s="1">
        <v>10.0</v>
      </c>
      <c r="P16" s="1">
        <v>0.0</v>
      </c>
      <c r="Q16" s="1">
        <v>0.0</v>
      </c>
      <c r="R16" s="1">
        <v>9.0</v>
      </c>
      <c r="S16" s="1">
        <v>3.0</v>
      </c>
      <c r="T16" s="1" t="s">
        <v>23</v>
      </c>
    </row>
    <row r="17">
      <c r="B17" s="1" t="s">
        <v>34</v>
      </c>
      <c r="E17" s="1" t="s">
        <v>39</v>
      </c>
      <c r="F17" s="1">
        <v>6.0</v>
      </c>
      <c r="G17" s="1">
        <v>0.0</v>
      </c>
      <c r="H17" s="1" t="s">
        <v>22</v>
      </c>
      <c r="I17" s="1">
        <v>15.0</v>
      </c>
      <c r="J17" s="1">
        <v>15.0</v>
      </c>
      <c r="K17" s="1">
        <v>3.0</v>
      </c>
      <c r="L17" s="1">
        <f>6*4-1</f>
        <v>23</v>
      </c>
      <c r="M17" s="1">
        <v>3.0</v>
      </c>
      <c r="N17" s="1">
        <v>6.0</v>
      </c>
      <c r="O17" s="1">
        <v>10.0</v>
      </c>
      <c r="P17" s="1">
        <v>0.0</v>
      </c>
      <c r="Q17" s="1">
        <v>0.0</v>
      </c>
      <c r="R17" s="1">
        <v>9.0</v>
      </c>
      <c r="S17" s="1">
        <v>3.0</v>
      </c>
      <c r="T17" s="1" t="s">
        <v>23</v>
      </c>
    </row>
    <row r="18">
      <c r="B18" s="1" t="s">
        <v>34</v>
      </c>
      <c r="E18" s="1" t="s">
        <v>40</v>
      </c>
      <c r="F18" s="1">
        <v>7.0</v>
      </c>
      <c r="G18" s="1">
        <v>0.0</v>
      </c>
      <c r="H18" s="1" t="s">
        <v>22</v>
      </c>
      <c r="I18" s="1">
        <v>17.5</v>
      </c>
      <c r="J18" s="1">
        <v>17.5</v>
      </c>
      <c r="K18" s="1">
        <v>3.0</v>
      </c>
      <c r="L18" s="1">
        <f>7*4-1</f>
        <v>27</v>
      </c>
      <c r="M18" s="1">
        <v>3.0</v>
      </c>
      <c r="N18" s="1">
        <v>6.0</v>
      </c>
      <c r="O18" s="1">
        <v>10.0</v>
      </c>
      <c r="P18" s="1">
        <v>0.0</v>
      </c>
      <c r="Q18" s="1">
        <v>0.0</v>
      </c>
      <c r="R18" s="1">
        <v>9.0</v>
      </c>
      <c r="S18" s="1">
        <v>3.0</v>
      </c>
      <c r="T18" s="1" t="s">
        <v>23</v>
      </c>
    </row>
    <row r="19">
      <c r="B19" s="1" t="s">
        <v>34</v>
      </c>
      <c r="E19" s="1" t="s">
        <v>41</v>
      </c>
      <c r="F19" s="1">
        <v>8.0</v>
      </c>
      <c r="G19" s="1">
        <v>0.0</v>
      </c>
      <c r="H19" s="1" t="s">
        <v>22</v>
      </c>
      <c r="I19" s="1">
        <v>20.0</v>
      </c>
      <c r="J19" s="1">
        <v>20.0</v>
      </c>
      <c r="K19" s="1">
        <v>3.0</v>
      </c>
      <c r="L19" s="1">
        <f>8*4-1</f>
        <v>31</v>
      </c>
      <c r="M19" s="1">
        <v>3.0</v>
      </c>
      <c r="N19" s="1">
        <v>6.0</v>
      </c>
      <c r="O19" s="1">
        <v>10.0</v>
      </c>
      <c r="P19" s="1">
        <v>0.0</v>
      </c>
      <c r="Q19" s="1">
        <v>0.0</v>
      </c>
      <c r="R19" s="1">
        <v>9.0</v>
      </c>
      <c r="S19" s="1">
        <v>3.0</v>
      </c>
      <c r="T19" s="1" t="s">
        <v>23</v>
      </c>
    </row>
    <row r="20">
      <c r="B20" s="1" t="s">
        <v>34</v>
      </c>
      <c r="E20" s="1" t="s">
        <v>42</v>
      </c>
      <c r="F20" s="1">
        <v>0.0</v>
      </c>
      <c r="G20" s="1">
        <v>15.0</v>
      </c>
      <c r="H20" s="1" t="s">
        <v>23</v>
      </c>
      <c r="I20" s="1">
        <v>100.0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10.0</v>
      </c>
      <c r="P20" s="1">
        <v>0.0</v>
      </c>
      <c r="Q20" s="1">
        <v>0.0</v>
      </c>
      <c r="R20" s="1">
        <v>9.0</v>
      </c>
      <c r="S20" s="1">
        <v>3.0</v>
      </c>
      <c r="T20" s="1" t="s">
        <v>23</v>
      </c>
    </row>
    <row r="21">
      <c r="A21" s="1" t="s">
        <v>43</v>
      </c>
      <c r="B21" s="1" t="s">
        <v>44</v>
      </c>
      <c r="E21" s="1" t="s">
        <v>45</v>
      </c>
      <c r="F21" s="1">
        <v>0.0</v>
      </c>
      <c r="G21" s="1">
        <v>25.0</v>
      </c>
      <c r="H21" s="1" t="s">
        <v>23</v>
      </c>
      <c r="I21" s="1">
        <v>100.0</v>
      </c>
      <c r="J21" s="1">
        <v>0.0</v>
      </c>
      <c r="K21" s="1">
        <v>0.0</v>
      </c>
      <c r="L21" s="1">
        <v>0.0</v>
      </c>
      <c r="M21" s="1">
        <v>0.0</v>
      </c>
      <c r="N21" s="1">
        <v>0.0</v>
      </c>
      <c r="O21" s="1">
        <v>10.0</v>
      </c>
      <c r="P21" s="1">
        <v>42.0</v>
      </c>
      <c r="Q21" s="1">
        <v>15.0</v>
      </c>
      <c r="R21" s="1">
        <v>39.0</v>
      </c>
      <c r="S21" s="1">
        <v>6.0</v>
      </c>
      <c r="T21" s="1" t="s">
        <v>22</v>
      </c>
    </row>
    <row r="22">
      <c r="B22" s="1" t="s">
        <v>44</v>
      </c>
      <c r="E22" s="1" t="s">
        <v>46</v>
      </c>
      <c r="F22" s="1">
        <v>8.0</v>
      </c>
      <c r="G22" s="1">
        <v>0.0</v>
      </c>
      <c r="H22" s="1" t="s">
        <v>22</v>
      </c>
      <c r="I22" s="1">
        <v>5.0</v>
      </c>
      <c r="J22" s="1">
        <v>5.0</v>
      </c>
      <c r="K22" s="1">
        <v>3.0</v>
      </c>
      <c r="L22" s="1">
        <v>31.0</v>
      </c>
      <c r="M22" s="1">
        <v>3.0</v>
      </c>
      <c r="N22" s="1">
        <v>6.0</v>
      </c>
      <c r="O22" s="1">
        <v>10.0</v>
      </c>
      <c r="P22" s="1">
        <v>42.0</v>
      </c>
      <c r="Q22" s="1">
        <v>15.0</v>
      </c>
      <c r="R22" s="1">
        <v>39.0</v>
      </c>
      <c r="S22" s="1">
        <v>6.0</v>
      </c>
      <c r="T22" s="1" t="s">
        <v>22</v>
      </c>
    </row>
    <row r="23">
      <c r="B23" s="1" t="s">
        <v>44</v>
      </c>
      <c r="E23" s="1" t="s">
        <v>47</v>
      </c>
      <c r="F23" s="1">
        <v>7.0</v>
      </c>
      <c r="G23" s="1">
        <v>3.0</v>
      </c>
      <c r="H23" s="1" t="s">
        <v>22</v>
      </c>
      <c r="I23" s="1">
        <v>5.0</v>
      </c>
      <c r="J23" s="1">
        <v>5.0</v>
      </c>
      <c r="K23" s="1">
        <v>3.0</v>
      </c>
      <c r="L23" s="1">
        <v>31.0</v>
      </c>
      <c r="M23" s="1">
        <v>3.0</v>
      </c>
      <c r="N23" s="1">
        <v>6.0</v>
      </c>
      <c r="O23" s="1">
        <v>10.0</v>
      </c>
      <c r="P23" s="1">
        <v>42.0</v>
      </c>
      <c r="Q23" s="1">
        <v>15.0</v>
      </c>
      <c r="R23" s="1">
        <v>39.0</v>
      </c>
      <c r="S23" s="1">
        <v>6.0</v>
      </c>
      <c r="T23" s="1" t="s">
        <v>22</v>
      </c>
    </row>
    <row r="24">
      <c r="B24" s="1" t="s">
        <v>44</v>
      </c>
      <c r="E24" s="1" t="s">
        <v>48</v>
      </c>
      <c r="F24" s="1">
        <v>6.0</v>
      </c>
      <c r="G24" s="1">
        <v>6.0</v>
      </c>
      <c r="H24" s="1" t="s">
        <v>22</v>
      </c>
      <c r="I24" s="1">
        <v>5.0</v>
      </c>
      <c r="J24" s="1">
        <v>5.0</v>
      </c>
      <c r="K24" s="1">
        <v>3.0</v>
      </c>
      <c r="L24" s="1">
        <v>31.0</v>
      </c>
      <c r="M24" s="1">
        <v>3.0</v>
      </c>
      <c r="N24" s="1">
        <v>6.0</v>
      </c>
      <c r="O24" s="1">
        <v>10.0</v>
      </c>
      <c r="P24" s="1">
        <v>42.0</v>
      </c>
      <c r="Q24" s="1">
        <v>15.0</v>
      </c>
      <c r="R24" s="1">
        <v>39.0</v>
      </c>
      <c r="S24" s="1">
        <v>6.0</v>
      </c>
      <c r="T24" s="1" t="s">
        <v>22</v>
      </c>
    </row>
    <row r="25">
      <c r="B25" s="1" t="s">
        <v>44</v>
      </c>
      <c r="E25" s="1" t="s">
        <v>49</v>
      </c>
      <c r="F25" s="1">
        <v>5.0</v>
      </c>
      <c r="G25" s="1">
        <v>9.0</v>
      </c>
      <c r="H25" s="1" t="s">
        <v>22</v>
      </c>
      <c r="I25" s="1">
        <v>5.0</v>
      </c>
      <c r="J25" s="1">
        <v>5.0</v>
      </c>
      <c r="K25" s="1">
        <v>3.0</v>
      </c>
      <c r="L25" s="1">
        <v>31.0</v>
      </c>
      <c r="M25" s="1">
        <v>3.0</v>
      </c>
      <c r="N25" s="1">
        <v>6.0</v>
      </c>
      <c r="O25" s="1">
        <v>10.0</v>
      </c>
      <c r="P25" s="1">
        <v>42.0</v>
      </c>
      <c r="Q25" s="1">
        <v>15.0</v>
      </c>
      <c r="R25" s="1">
        <v>39.0</v>
      </c>
      <c r="S25" s="1">
        <v>6.0</v>
      </c>
      <c r="T25" s="1" t="s">
        <v>22</v>
      </c>
    </row>
    <row r="26">
      <c r="B26" s="1" t="s">
        <v>50</v>
      </c>
      <c r="C26" s="3">
        <v>20000.0</v>
      </c>
      <c r="E26" s="1" t="s">
        <v>45</v>
      </c>
      <c r="F26" s="1">
        <v>0.0</v>
      </c>
      <c r="G26" s="1">
        <v>25.0</v>
      </c>
      <c r="H26" s="1" t="s">
        <v>23</v>
      </c>
      <c r="I26" s="1">
        <v>100.0</v>
      </c>
      <c r="J26" s="1">
        <v>0.0</v>
      </c>
      <c r="K26" s="1">
        <v>0.0</v>
      </c>
      <c r="L26" s="1">
        <v>0.0</v>
      </c>
      <c r="M26" s="1">
        <v>0.0</v>
      </c>
      <c r="N26" s="1">
        <v>0.0</v>
      </c>
      <c r="O26" s="1">
        <v>10.0</v>
      </c>
      <c r="P26" s="1">
        <v>42.0</v>
      </c>
      <c r="Q26" s="1">
        <v>15.0</v>
      </c>
      <c r="R26" s="1">
        <v>39.0</v>
      </c>
      <c r="S26" s="1">
        <v>6.0</v>
      </c>
      <c r="T26" s="1" t="s">
        <v>23</v>
      </c>
    </row>
    <row r="27">
      <c r="B27" s="1" t="s">
        <v>50</v>
      </c>
      <c r="C27" s="3">
        <v>20000.0</v>
      </c>
      <c r="E27" s="1" t="s">
        <v>46</v>
      </c>
      <c r="F27" s="1">
        <v>8.0</v>
      </c>
      <c r="G27" s="1">
        <v>0.0</v>
      </c>
      <c r="H27" s="1" t="s">
        <v>23</v>
      </c>
      <c r="I27" s="1">
        <v>5.0</v>
      </c>
      <c r="J27" s="1">
        <v>5.0</v>
      </c>
      <c r="K27" s="1">
        <v>3.0</v>
      </c>
      <c r="L27" s="1">
        <v>31.0</v>
      </c>
      <c r="M27" s="1">
        <v>3.0</v>
      </c>
      <c r="N27" s="1">
        <v>6.0</v>
      </c>
      <c r="O27" s="1">
        <v>10.0</v>
      </c>
      <c r="P27" s="1">
        <v>42.0</v>
      </c>
      <c r="Q27" s="1">
        <v>15.0</v>
      </c>
      <c r="R27" s="1">
        <v>39.0</v>
      </c>
      <c r="S27" s="1">
        <v>6.0</v>
      </c>
      <c r="T27" s="1" t="s">
        <v>23</v>
      </c>
    </row>
    <row r="28">
      <c r="B28" s="1" t="s">
        <v>50</v>
      </c>
      <c r="C28" s="3">
        <v>20000.0</v>
      </c>
      <c r="E28" s="1" t="s">
        <v>47</v>
      </c>
      <c r="F28" s="1">
        <v>7.0</v>
      </c>
      <c r="G28" s="1">
        <v>3.0</v>
      </c>
      <c r="H28" s="1" t="s">
        <v>23</v>
      </c>
      <c r="I28" s="1">
        <v>5.0</v>
      </c>
      <c r="J28" s="1">
        <v>5.0</v>
      </c>
      <c r="K28" s="1">
        <v>3.0</v>
      </c>
      <c r="L28" s="1">
        <v>31.0</v>
      </c>
      <c r="M28" s="1">
        <v>3.0</v>
      </c>
      <c r="N28" s="1">
        <v>6.0</v>
      </c>
      <c r="O28" s="1">
        <v>10.0</v>
      </c>
      <c r="P28" s="1">
        <v>42.0</v>
      </c>
      <c r="Q28" s="1">
        <v>15.0</v>
      </c>
      <c r="R28" s="1">
        <v>39.0</v>
      </c>
      <c r="S28" s="1">
        <v>6.0</v>
      </c>
      <c r="T28" s="1" t="s">
        <v>23</v>
      </c>
    </row>
    <row r="29">
      <c r="B29" s="1" t="s">
        <v>50</v>
      </c>
      <c r="C29" s="3">
        <v>20000.0</v>
      </c>
      <c r="E29" s="1" t="s">
        <v>48</v>
      </c>
      <c r="F29" s="1">
        <v>6.0</v>
      </c>
      <c r="G29" s="1">
        <v>6.0</v>
      </c>
      <c r="H29" s="1" t="s">
        <v>23</v>
      </c>
      <c r="I29" s="1">
        <v>5.0</v>
      </c>
      <c r="J29" s="1">
        <v>5.0</v>
      </c>
      <c r="K29" s="1">
        <v>3.0</v>
      </c>
      <c r="L29" s="1">
        <v>31.0</v>
      </c>
      <c r="M29" s="1">
        <v>3.0</v>
      </c>
      <c r="N29" s="1">
        <v>6.0</v>
      </c>
      <c r="O29" s="1">
        <v>10.0</v>
      </c>
      <c r="P29" s="1">
        <v>42.0</v>
      </c>
      <c r="Q29" s="1">
        <v>15.0</v>
      </c>
      <c r="R29" s="1">
        <v>39.0</v>
      </c>
      <c r="S29" s="1">
        <v>6.0</v>
      </c>
      <c r="T29" s="1" t="s">
        <v>23</v>
      </c>
    </row>
    <row r="30">
      <c r="B30" s="1" t="s">
        <v>50</v>
      </c>
      <c r="C30" s="3">
        <v>20000.0</v>
      </c>
      <c r="E30" s="1" t="s">
        <v>49</v>
      </c>
      <c r="F30" s="1">
        <v>5.0</v>
      </c>
      <c r="G30" s="1">
        <v>9.0</v>
      </c>
      <c r="H30" s="1" t="s">
        <v>23</v>
      </c>
      <c r="I30" s="1">
        <v>5.0</v>
      </c>
      <c r="J30" s="1">
        <v>5.0</v>
      </c>
      <c r="K30" s="1">
        <v>3.0</v>
      </c>
      <c r="L30" s="1">
        <v>31.0</v>
      </c>
      <c r="M30" s="1">
        <v>3.0</v>
      </c>
      <c r="N30" s="1">
        <v>6.0</v>
      </c>
      <c r="O30" s="1">
        <v>10.0</v>
      </c>
      <c r="P30" s="1">
        <v>42.0</v>
      </c>
      <c r="Q30" s="1">
        <v>15.0</v>
      </c>
      <c r="R30" s="1">
        <v>39.0</v>
      </c>
      <c r="S30" s="1">
        <v>6.0</v>
      </c>
      <c r="T30" s="1" t="s">
        <v>23</v>
      </c>
    </row>
    <row r="31">
      <c r="A31" s="1" t="s">
        <v>51</v>
      </c>
      <c r="E31" s="1" t="s">
        <v>21</v>
      </c>
      <c r="F31" s="1">
        <v>8.0</v>
      </c>
      <c r="G31" s="1">
        <v>0.0</v>
      </c>
      <c r="H31" s="1" t="s">
        <v>22</v>
      </c>
      <c r="I31" s="1">
        <v>5.0</v>
      </c>
      <c r="J31" s="1">
        <v>5.0</v>
      </c>
      <c r="K31" s="1">
        <v>3.0</v>
      </c>
      <c r="L31" s="1">
        <v>31.0</v>
      </c>
      <c r="M31" s="1">
        <v>3.0</v>
      </c>
      <c r="N31" s="1">
        <v>6.0</v>
      </c>
      <c r="O31" s="1">
        <v>10.0</v>
      </c>
      <c r="P31" s="1">
        <f t="shared" ref="P31:P40" si="3">4*12</f>
        <v>48</v>
      </c>
      <c r="Q31" s="1">
        <v>18.0</v>
      </c>
      <c r="R31" s="1">
        <v>48.0</v>
      </c>
      <c r="S31" s="1">
        <v>6.0</v>
      </c>
      <c r="T31" s="1" t="s">
        <v>22</v>
      </c>
    </row>
    <row r="32">
      <c r="E32" s="1" t="s">
        <v>24</v>
      </c>
      <c r="F32" s="1">
        <v>8.0</v>
      </c>
      <c r="G32" s="1">
        <v>10.0</v>
      </c>
      <c r="H32" s="1" t="s">
        <v>22</v>
      </c>
      <c r="I32" s="1">
        <v>10.0</v>
      </c>
      <c r="J32" s="1">
        <v>0.0</v>
      </c>
      <c r="K32" s="1">
        <v>3.0</v>
      </c>
      <c r="L32" s="1">
        <v>32.0</v>
      </c>
      <c r="M32" s="1">
        <v>3.0</v>
      </c>
      <c r="N32" s="1">
        <v>3.0</v>
      </c>
      <c r="O32" s="1">
        <v>10.0</v>
      </c>
      <c r="P32" s="1">
        <f t="shared" si="3"/>
        <v>48</v>
      </c>
      <c r="Q32" s="1">
        <v>18.0</v>
      </c>
      <c r="R32" s="1">
        <v>48.0</v>
      </c>
      <c r="S32" s="1">
        <v>6.0</v>
      </c>
      <c r="T32" s="1" t="s">
        <v>22</v>
      </c>
    </row>
    <row r="33">
      <c r="E33" s="1" t="s">
        <v>25</v>
      </c>
      <c r="F33" s="1">
        <v>8.0</v>
      </c>
      <c r="G33" s="1">
        <v>15.0</v>
      </c>
      <c r="H33" s="1" t="s">
        <v>22</v>
      </c>
      <c r="I33" s="1">
        <v>7.5</v>
      </c>
      <c r="J33" s="1">
        <v>7.5</v>
      </c>
      <c r="K33" s="1">
        <v>3.0</v>
      </c>
      <c r="L33" s="1">
        <v>31.0</v>
      </c>
      <c r="M33" s="1">
        <v>3.0</v>
      </c>
      <c r="N33" s="1">
        <v>6.0</v>
      </c>
      <c r="O33" s="1">
        <v>10.0</v>
      </c>
      <c r="P33" s="1">
        <f t="shared" si="3"/>
        <v>48</v>
      </c>
      <c r="Q33" s="1">
        <v>18.0</v>
      </c>
      <c r="R33" s="1">
        <v>48.0</v>
      </c>
      <c r="S33" s="1">
        <v>6.0</v>
      </c>
      <c r="T33" s="1" t="s">
        <v>22</v>
      </c>
    </row>
    <row r="34">
      <c r="E34" s="1" t="s">
        <v>26</v>
      </c>
      <c r="F34" s="1">
        <v>8.0</v>
      </c>
      <c r="G34" s="1">
        <v>20.0</v>
      </c>
      <c r="H34" s="1" t="s">
        <v>22</v>
      </c>
      <c r="I34" s="1">
        <v>10.0</v>
      </c>
      <c r="J34" s="1">
        <v>10.0</v>
      </c>
      <c r="K34" s="1">
        <v>3.0</v>
      </c>
      <c r="L34" s="1">
        <v>31.0</v>
      </c>
      <c r="M34" s="1">
        <v>3.0</v>
      </c>
      <c r="N34" s="1">
        <v>6.0</v>
      </c>
      <c r="O34" s="1">
        <v>10.0</v>
      </c>
      <c r="P34" s="1">
        <f t="shared" si="3"/>
        <v>48</v>
      </c>
      <c r="Q34" s="1">
        <v>18.0</v>
      </c>
      <c r="R34" s="1">
        <v>48.0</v>
      </c>
      <c r="S34" s="1">
        <v>6.0</v>
      </c>
      <c r="T34" s="1" t="s">
        <v>22</v>
      </c>
    </row>
    <row r="35">
      <c r="E35" s="1" t="s">
        <v>27</v>
      </c>
      <c r="F35" s="1">
        <v>8.0</v>
      </c>
      <c r="G35" s="1">
        <v>25.0</v>
      </c>
      <c r="H35" s="1" t="s">
        <v>22</v>
      </c>
      <c r="I35" s="1">
        <v>12.5</v>
      </c>
      <c r="J35" s="1">
        <v>12.5</v>
      </c>
      <c r="K35" s="1">
        <v>3.0</v>
      </c>
      <c r="L35" s="1">
        <v>31.0</v>
      </c>
      <c r="M35" s="1">
        <v>3.0</v>
      </c>
      <c r="N35" s="1">
        <v>6.0</v>
      </c>
      <c r="O35" s="1">
        <v>10.0</v>
      </c>
      <c r="P35" s="1">
        <f t="shared" si="3"/>
        <v>48</v>
      </c>
      <c r="Q35" s="1">
        <v>18.0</v>
      </c>
      <c r="R35" s="1">
        <v>48.0</v>
      </c>
      <c r="S35" s="1">
        <v>6.0</v>
      </c>
      <c r="T35" s="1" t="s">
        <v>22</v>
      </c>
    </row>
    <row r="36">
      <c r="E36" s="1" t="s">
        <v>28</v>
      </c>
      <c r="F36" s="1">
        <v>8.0</v>
      </c>
      <c r="G36" s="1">
        <v>30.0</v>
      </c>
      <c r="H36" s="1" t="s">
        <v>22</v>
      </c>
      <c r="I36" s="1">
        <v>15.0</v>
      </c>
      <c r="J36" s="1">
        <v>15.0</v>
      </c>
      <c r="K36" s="1">
        <v>3.0</v>
      </c>
      <c r="L36" s="1">
        <v>31.0</v>
      </c>
      <c r="M36" s="1">
        <v>3.0</v>
      </c>
      <c r="N36" s="1">
        <v>6.0</v>
      </c>
      <c r="O36" s="1">
        <v>10.0</v>
      </c>
      <c r="P36" s="1">
        <f t="shared" si="3"/>
        <v>48</v>
      </c>
      <c r="Q36" s="1">
        <v>18.0</v>
      </c>
      <c r="R36" s="1">
        <v>48.0</v>
      </c>
      <c r="S36" s="1">
        <v>6.0</v>
      </c>
      <c r="T36" s="1" t="s">
        <v>22</v>
      </c>
    </row>
    <row r="37">
      <c r="E37" s="1" t="s">
        <v>29</v>
      </c>
      <c r="F37" s="1">
        <v>8.0</v>
      </c>
      <c r="G37" s="1">
        <v>35.0</v>
      </c>
      <c r="H37" s="1" t="s">
        <v>22</v>
      </c>
      <c r="I37" s="1">
        <v>17.5</v>
      </c>
      <c r="J37" s="1">
        <v>17.5</v>
      </c>
      <c r="K37" s="1">
        <v>3.0</v>
      </c>
      <c r="L37" s="1">
        <v>31.0</v>
      </c>
      <c r="M37" s="1">
        <v>3.0</v>
      </c>
      <c r="N37" s="1">
        <v>6.0</v>
      </c>
      <c r="O37" s="1">
        <v>10.0</v>
      </c>
      <c r="P37" s="1">
        <f t="shared" si="3"/>
        <v>48</v>
      </c>
      <c r="Q37" s="1">
        <v>18.0</v>
      </c>
      <c r="R37" s="1">
        <v>48.0</v>
      </c>
      <c r="S37" s="1">
        <v>6.0</v>
      </c>
      <c r="T37" s="1" t="s">
        <v>22</v>
      </c>
    </row>
    <row r="38">
      <c r="E38" s="1" t="s">
        <v>30</v>
      </c>
      <c r="F38" s="1">
        <v>8.0</v>
      </c>
      <c r="G38" s="1">
        <v>40.0</v>
      </c>
      <c r="H38" s="1" t="s">
        <v>22</v>
      </c>
      <c r="I38" s="1">
        <v>20.0</v>
      </c>
      <c r="J38" s="1">
        <v>20.0</v>
      </c>
      <c r="K38" s="1">
        <v>3.0</v>
      </c>
      <c r="L38" s="1">
        <v>31.0</v>
      </c>
      <c r="M38" s="1">
        <v>3.0</v>
      </c>
      <c r="N38" s="1">
        <v>6.0</v>
      </c>
      <c r="O38" s="1">
        <v>10.0</v>
      </c>
      <c r="P38" s="1">
        <f t="shared" si="3"/>
        <v>48</v>
      </c>
      <c r="Q38" s="1">
        <v>18.0</v>
      </c>
      <c r="R38" s="1">
        <v>48.0</v>
      </c>
      <c r="S38" s="1">
        <v>6.0</v>
      </c>
      <c r="T38" s="1" t="s">
        <v>22</v>
      </c>
    </row>
    <row r="39">
      <c r="E39" s="1" t="s">
        <v>31</v>
      </c>
      <c r="F39" s="1">
        <v>8.0</v>
      </c>
      <c r="G39" s="1">
        <v>45.0</v>
      </c>
      <c r="H39" s="1" t="s">
        <v>22</v>
      </c>
      <c r="I39" s="1">
        <v>22.5</v>
      </c>
      <c r="J39" s="1">
        <v>22.5</v>
      </c>
      <c r="K39" s="1">
        <v>3.0</v>
      </c>
      <c r="L39" s="1">
        <v>31.0</v>
      </c>
      <c r="M39" s="1">
        <v>3.0</v>
      </c>
      <c r="N39" s="1">
        <v>6.0</v>
      </c>
      <c r="O39" s="1">
        <v>10.0</v>
      </c>
      <c r="P39" s="1">
        <f t="shared" si="3"/>
        <v>48</v>
      </c>
      <c r="Q39" s="1">
        <v>18.0</v>
      </c>
      <c r="R39" s="1">
        <v>48.0</v>
      </c>
      <c r="S39" s="1">
        <v>6.0</v>
      </c>
      <c r="T39" s="1" t="s">
        <v>22</v>
      </c>
    </row>
    <row r="40">
      <c r="E40" s="1" t="s">
        <v>33</v>
      </c>
      <c r="F40" s="1">
        <v>0.0</v>
      </c>
      <c r="G40" s="1">
        <v>50.0</v>
      </c>
      <c r="H40" s="1" t="s">
        <v>22</v>
      </c>
      <c r="I40" s="1">
        <v>25.0</v>
      </c>
      <c r="J40" s="1">
        <v>25.0</v>
      </c>
      <c r="K40" s="1">
        <v>3.0</v>
      </c>
      <c r="L40" s="1">
        <v>1.0</v>
      </c>
      <c r="M40" s="1">
        <v>3.0</v>
      </c>
      <c r="N40" s="1">
        <v>6.0</v>
      </c>
      <c r="O40" s="1">
        <v>10.0</v>
      </c>
      <c r="P40" s="1">
        <f t="shared" si="3"/>
        <v>48</v>
      </c>
      <c r="Q40" s="1">
        <v>18.0</v>
      </c>
      <c r="R40" s="1">
        <v>48.0</v>
      </c>
      <c r="S40" s="1">
        <v>6.0</v>
      </c>
      <c r="T40" s="1" t="s">
        <v>22</v>
      </c>
    </row>
    <row r="41">
      <c r="A41" s="1" t="s">
        <v>52</v>
      </c>
      <c r="E41" s="1" t="s">
        <v>21</v>
      </c>
      <c r="F41" s="1">
        <v>8.0</v>
      </c>
      <c r="G41" s="1">
        <v>0.0</v>
      </c>
      <c r="H41" s="1" t="s">
        <v>22</v>
      </c>
      <c r="I41" s="1">
        <v>5.0</v>
      </c>
      <c r="J41" s="1">
        <v>5.0</v>
      </c>
      <c r="K41" s="1">
        <v>3.0</v>
      </c>
      <c r="L41" s="1">
        <v>31.0</v>
      </c>
      <c r="M41" s="1">
        <v>3.0</v>
      </c>
      <c r="N41" s="1">
        <v>6.0</v>
      </c>
      <c r="O41" s="1">
        <v>10.0</v>
      </c>
      <c r="P41" s="1">
        <v>24.0</v>
      </c>
      <c r="Q41" s="1">
        <v>6.0</v>
      </c>
      <c r="R41" s="1">
        <v>24.0</v>
      </c>
      <c r="S41" s="1">
        <v>3.0</v>
      </c>
      <c r="T41" s="1" t="s">
        <v>22</v>
      </c>
    </row>
    <row r="42">
      <c r="E42" s="1" t="s">
        <v>24</v>
      </c>
      <c r="F42" s="1">
        <v>8.0</v>
      </c>
      <c r="G42" s="1">
        <v>10.0</v>
      </c>
      <c r="H42" s="1" t="s">
        <v>22</v>
      </c>
      <c r="I42" s="1">
        <v>10.0</v>
      </c>
      <c r="J42" s="1">
        <v>0.0</v>
      </c>
      <c r="K42" s="1">
        <v>3.0</v>
      </c>
      <c r="L42" s="1">
        <v>32.0</v>
      </c>
      <c r="M42" s="1">
        <v>3.0</v>
      </c>
      <c r="N42" s="1">
        <v>3.0</v>
      </c>
      <c r="O42" s="1">
        <v>10.0</v>
      </c>
      <c r="P42" s="1">
        <v>24.0</v>
      </c>
      <c r="Q42" s="1">
        <v>6.0</v>
      </c>
      <c r="R42" s="1">
        <v>24.0</v>
      </c>
      <c r="S42" s="1">
        <v>3.0</v>
      </c>
      <c r="T42" s="1" t="s">
        <v>22</v>
      </c>
    </row>
    <row r="43">
      <c r="E43" s="1" t="s">
        <v>25</v>
      </c>
      <c r="F43" s="1">
        <v>8.0</v>
      </c>
      <c r="G43" s="1">
        <v>15.0</v>
      </c>
      <c r="H43" s="1" t="s">
        <v>22</v>
      </c>
      <c r="I43" s="1">
        <v>7.5</v>
      </c>
      <c r="J43" s="1">
        <v>7.5</v>
      </c>
      <c r="K43" s="1">
        <v>3.0</v>
      </c>
      <c r="L43" s="1">
        <v>31.0</v>
      </c>
      <c r="M43" s="1">
        <v>3.0</v>
      </c>
      <c r="N43" s="1">
        <v>6.0</v>
      </c>
      <c r="O43" s="1">
        <v>10.0</v>
      </c>
      <c r="P43" s="1">
        <v>24.0</v>
      </c>
      <c r="Q43" s="1">
        <v>6.0</v>
      </c>
      <c r="R43" s="1">
        <v>24.0</v>
      </c>
      <c r="S43" s="1">
        <v>3.0</v>
      </c>
      <c r="T43" s="1" t="s">
        <v>22</v>
      </c>
    </row>
    <row r="44">
      <c r="E44" s="1" t="s">
        <v>26</v>
      </c>
      <c r="F44" s="1">
        <v>8.0</v>
      </c>
      <c r="G44" s="1">
        <v>20.0</v>
      </c>
      <c r="H44" s="1" t="s">
        <v>22</v>
      </c>
      <c r="I44" s="1">
        <v>10.0</v>
      </c>
      <c r="J44" s="1">
        <v>10.0</v>
      </c>
      <c r="K44" s="1">
        <v>3.0</v>
      </c>
      <c r="L44" s="1">
        <v>31.0</v>
      </c>
      <c r="M44" s="1">
        <v>3.0</v>
      </c>
      <c r="N44" s="1">
        <v>6.0</v>
      </c>
      <c r="O44" s="1">
        <v>10.0</v>
      </c>
      <c r="P44" s="1">
        <v>24.0</v>
      </c>
      <c r="Q44" s="1">
        <v>6.0</v>
      </c>
      <c r="R44" s="1">
        <v>24.0</v>
      </c>
      <c r="S44" s="1">
        <v>3.0</v>
      </c>
      <c r="T44" s="1" t="s">
        <v>22</v>
      </c>
    </row>
    <row r="45">
      <c r="E45" s="1" t="s">
        <v>27</v>
      </c>
      <c r="F45" s="1">
        <v>8.0</v>
      </c>
      <c r="G45" s="1">
        <v>25.0</v>
      </c>
      <c r="H45" s="1" t="s">
        <v>22</v>
      </c>
      <c r="I45" s="1">
        <v>12.5</v>
      </c>
      <c r="J45" s="1">
        <v>12.5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24.0</v>
      </c>
      <c r="Q45" s="1">
        <v>6.0</v>
      </c>
      <c r="R45" s="1">
        <v>24.0</v>
      </c>
      <c r="S45" s="1">
        <v>3.0</v>
      </c>
      <c r="T45" s="1" t="s">
        <v>22</v>
      </c>
    </row>
    <row r="46">
      <c r="E46" s="1" t="s">
        <v>28</v>
      </c>
      <c r="F46" s="1">
        <v>8.0</v>
      </c>
      <c r="G46" s="1">
        <v>30.0</v>
      </c>
      <c r="H46" s="1" t="s">
        <v>22</v>
      </c>
      <c r="I46" s="1">
        <v>15.0</v>
      </c>
      <c r="J46" s="1">
        <v>15.0</v>
      </c>
      <c r="K46" s="1">
        <v>3.0</v>
      </c>
      <c r="L46" s="1">
        <v>31.0</v>
      </c>
      <c r="M46" s="1">
        <v>3.0</v>
      </c>
      <c r="N46" s="1">
        <v>6.0</v>
      </c>
      <c r="O46" s="1">
        <v>10.0</v>
      </c>
      <c r="P46" s="1">
        <v>24.0</v>
      </c>
      <c r="Q46" s="1">
        <v>6.0</v>
      </c>
      <c r="R46" s="1">
        <v>24.0</v>
      </c>
      <c r="S46" s="1">
        <v>3.0</v>
      </c>
      <c r="T46" s="1" t="s">
        <v>22</v>
      </c>
    </row>
    <row r="47">
      <c r="E47" s="1" t="s">
        <v>29</v>
      </c>
      <c r="F47" s="1">
        <v>8.0</v>
      </c>
      <c r="G47" s="1">
        <v>35.0</v>
      </c>
      <c r="H47" s="1" t="s">
        <v>22</v>
      </c>
      <c r="I47" s="1">
        <v>17.5</v>
      </c>
      <c r="J47" s="1">
        <v>17.5</v>
      </c>
      <c r="K47" s="1">
        <v>3.0</v>
      </c>
      <c r="L47" s="1">
        <v>31.0</v>
      </c>
      <c r="M47" s="1">
        <v>3.0</v>
      </c>
      <c r="N47" s="1">
        <v>6.0</v>
      </c>
      <c r="O47" s="1">
        <v>10.0</v>
      </c>
      <c r="P47" s="1">
        <v>24.0</v>
      </c>
      <c r="Q47" s="1">
        <v>6.0</v>
      </c>
      <c r="R47" s="1">
        <v>24.0</v>
      </c>
      <c r="S47" s="1">
        <v>3.0</v>
      </c>
      <c r="T47" s="1" t="s">
        <v>22</v>
      </c>
    </row>
    <row r="48">
      <c r="E48" s="1" t="s">
        <v>30</v>
      </c>
      <c r="F48" s="1">
        <v>8.0</v>
      </c>
      <c r="G48" s="1">
        <v>40.0</v>
      </c>
      <c r="H48" s="1" t="s">
        <v>22</v>
      </c>
      <c r="I48" s="1">
        <v>20.0</v>
      </c>
      <c r="J48" s="1">
        <v>20.0</v>
      </c>
      <c r="K48" s="1">
        <v>3.0</v>
      </c>
      <c r="L48" s="1">
        <v>31.0</v>
      </c>
      <c r="M48" s="1">
        <v>3.0</v>
      </c>
      <c r="N48" s="1">
        <v>6.0</v>
      </c>
      <c r="O48" s="1">
        <v>10.0</v>
      </c>
      <c r="P48" s="1">
        <v>24.0</v>
      </c>
      <c r="Q48" s="1">
        <v>6.0</v>
      </c>
      <c r="R48" s="1">
        <v>24.0</v>
      </c>
      <c r="S48" s="1">
        <v>3.0</v>
      </c>
      <c r="T48" s="1" t="s">
        <v>22</v>
      </c>
    </row>
    <row r="49">
      <c r="E49" s="1" t="s">
        <v>31</v>
      </c>
      <c r="F49" s="1">
        <v>8.0</v>
      </c>
      <c r="G49" s="1">
        <v>45.0</v>
      </c>
      <c r="H49" s="1" t="s">
        <v>22</v>
      </c>
      <c r="I49" s="1">
        <v>22.5</v>
      </c>
      <c r="J49" s="1">
        <v>22.5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v>24.0</v>
      </c>
      <c r="Q49" s="1">
        <v>6.0</v>
      </c>
      <c r="R49" s="1">
        <v>24.0</v>
      </c>
      <c r="S49" s="1">
        <v>3.0</v>
      </c>
      <c r="T49" s="1" t="s">
        <v>22</v>
      </c>
    </row>
    <row r="50">
      <c r="E50" s="1" t="s">
        <v>33</v>
      </c>
      <c r="F50" s="1">
        <v>0.0</v>
      </c>
      <c r="G50" s="1">
        <v>50.0</v>
      </c>
      <c r="H50" s="1" t="s">
        <v>22</v>
      </c>
      <c r="I50" s="1">
        <v>25.0</v>
      </c>
      <c r="J50" s="1">
        <v>25.0</v>
      </c>
      <c r="K50" s="1">
        <v>3.0</v>
      </c>
      <c r="L50" s="1">
        <v>1.0</v>
      </c>
      <c r="M50" s="1">
        <v>3.0</v>
      </c>
      <c r="N50" s="1">
        <v>6.0</v>
      </c>
      <c r="O50" s="1">
        <v>10.0</v>
      </c>
      <c r="P50" s="1">
        <v>24.0</v>
      </c>
      <c r="Q50" s="1">
        <v>6.0</v>
      </c>
      <c r="R50" s="1">
        <v>24.0</v>
      </c>
      <c r="S50" s="1">
        <v>3.0</v>
      </c>
      <c r="T50" s="1" t="s">
        <v>22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53</v>
      </c>
      <c r="B1" s="1" t="s">
        <v>54</v>
      </c>
    </row>
    <row r="2" ht="15.0" customHeight="1">
      <c r="A2" s="1" t="s">
        <v>55</v>
      </c>
      <c r="B2" s="1" t="s">
        <v>56</v>
      </c>
    </row>
    <row r="3" ht="15.0" customHeight="1">
      <c r="A3" s="1" t="s">
        <v>57</v>
      </c>
      <c r="B3" s="1" t="s">
        <v>58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59</v>
      </c>
      <c r="B1" s="1" t="s">
        <v>60</v>
      </c>
    </row>
    <row r="2" ht="15.0" customHeight="1">
      <c r="A2" s="1" t="s">
        <v>60</v>
      </c>
      <c r="B2" s="1" t="s">
        <v>60</v>
      </c>
    </row>
    <row r="3" ht="15.0" customHeight="1">
      <c r="A3" s="1" t="s">
        <v>61</v>
      </c>
      <c r="B3" s="4" t="s">
        <v>62</v>
      </c>
    </row>
    <row r="4" ht="15.0" customHeight="1">
      <c r="A4" s="1" t="s">
        <v>63</v>
      </c>
      <c r="B4" s="4" t="s">
        <v>64</v>
      </c>
    </row>
    <row r="5" ht="15.0" customHeight="1">
      <c r="A5" s="1" t="s">
        <v>65</v>
      </c>
      <c r="B5" s="4" t="s">
        <v>66</v>
      </c>
    </row>
    <row r="6" ht="15.0" customHeight="1">
      <c r="A6" s="1" t="s">
        <v>60</v>
      </c>
      <c r="B6" s="1" t="s">
        <v>60</v>
      </c>
    </row>
    <row r="7" ht="15.0" customHeight="1">
      <c r="A7" s="1" t="s">
        <v>67</v>
      </c>
      <c r="B7" s="4" t="s">
        <v>68</v>
      </c>
    </row>
    <row r="8" ht="15.0" customHeight="1">
      <c r="A8" s="1" t="s">
        <v>0</v>
      </c>
      <c r="B8" s="4" t="s">
        <v>69</v>
      </c>
    </row>
    <row r="9" ht="15.0" customHeight="1">
      <c r="A9" s="1" t="s">
        <v>4</v>
      </c>
      <c r="B9" s="1" t="s">
        <v>70</v>
      </c>
    </row>
    <row r="10" ht="15.0" customHeight="1">
      <c r="A10" s="1" t="s">
        <v>5</v>
      </c>
      <c r="B10" s="1" t="s">
        <v>71</v>
      </c>
    </row>
    <row r="11" ht="15.0" customHeight="1">
      <c r="A11" s="1" t="s">
        <v>6</v>
      </c>
      <c r="B11" s="4" t="s">
        <v>72</v>
      </c>
    </row>
    <row r="12" ht="15.0" customHeight="1">
      <c r="A12" s="1" t="s">
        <v>8</v>
      </c>
      <c r="B12" s="1" t="s">
        <v>73</v>
      </c>
    </row>
    <row r="13" ht="15.0" customHeight="1">
      <c r="A13" s="1" t="s">
        <v>9</v>
      </c>
      <c r="B13" s="1" t="s">
        <v>74</v>
      </c>
    </row>
    <row r="14" ht="15.0" customHeight="1">
      <c r="A14" s="1" t="s">
        <v>10</v>
      </c>
      <c r="B14" s="4" t="s">
        <v>75</v>
      </c>
    </row>
    <row r="15" ht="15.0" customHeight="1">
      <c r="A15" s="1" t="s">
        <v>11</v>
      </c>
      <c r="B15" s="1" t="s">
        <v>76</v>
      </c>
    </row>
    <row r="16" ht="15.0" customHeight="1">
      <c r="A16" s="1" t="s">
        <v>12</v>
      </c>
      <c r="B16" s="4" t="s">
        <v>77</v>
      </c>
    </row>
    <row r="17" ht="15.0" customHeight="1">
      <c r="A17" s="1" t="s">
        <v>13</v>
      </c>
      <c r="B17" s="1" t="s">
        <v>78</v>
      </c>
    </row>
    <row r="18" ht="15.0" customHeight="1">
      <c r="A18" s="1" t="s">
        <v>79</v>
      </c>
      <c r="B18" s="1" t="s">
        <v>80</v>
      </c>
    </row>
    <row r="19" ht="15.0" customHeight="1">
      <c r="A19" s="1" t="s">
        <v>81</v>
      </c>
      <c r="B19" s="1" t="s">
        <v>82</v>
      </c>
    </row>
    <row r="20" ht="15.0" customHeight="1">
      <c r="A20" s="1" t="s">
        <v>14</v>
      </c>
      <c r="B20" s="1" t="s">
        <v>83</v>
      </c>
    </row>
    <row r="21" ht="15.0" customHeight="1">
      <c r="A21" s="1" t="s">
        <v>15</v>
      </c>
      <c r="B21" s="4" t="s">
        <v>84</v>
      </c>
    </row>
    <row r="22" ht="15.0" customHeight="1">
      <c r="A22" s="1" t="s">
        <v>60</v>
      </c>
      <c r="B22" s="1" t="s">
        <v>60</v>
      </c>
    </row>
    <row r="23" ht="15.0" customHeight="1">
      <c r="A23" s="1" t="s">
        <v>85</v>
      </c>
      <c r="B23" s="4" t="s">
        <v>86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