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slam.essam\payment-request\public\"/>
    </mc:Choice>
  </mc:AlternateContent>
  <xr:revisionPtr revIDLastSave="0" documentId="13_ncr:1_{F29F0088-C116-497D-9B89-24212866A0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jects" sheetId="1" r:id="rId1"/>
    <sheet name="Settings" sheetId="2" r:id="rId2"/>
    <sheet name="ReadMe" sheetId="3" r:id="rId3"/>
  </sheets>
  <definedNames>
    <definedName name="_xlnm._FilterDatabase" localSheetId="0" hidden="1">Projects!$A$1:$T$50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2" i="1" l="1"/>
  <c r="P33" i="1"/>
  <c r="P34" i="1"/>
  <c r="P35" i="1"/>
  <c r="P36" i="1"/>
  <c r="P37" i="1"/>
  <c r="P38" i="1"/>
  <c r="P39" i="1"/>
  <c r="P40" i="1"/>
  <c r="P31" i="1"/>
  <c r="L19" i="1"/>
  <c r="L18" i="1"/>
  <c r="L17" i="1"/>
  <c r="L16" i="1"/>
  <c r="L15" i="1"/>
  <c r="L14" i="1"/>
  <c r="R12" i="1"/>
  <c r="R10" i="1"/>
  <c r="R9" i="1"/>
  <c r="R8" i="1"/>
  <c r="R7" i="1"/>
  <c r="R6" i="1"/>
  <c r="R5" i="1"/>
  <c r="P4" i="1"/>
  <c r="P3" i="1"/>
  <c r="P2" i="1"/>
  <c r="R3" i="1" l="1"/>
  <c r="R2" i="1"/>
  <c r="R4" i="1"/>
</calcChain>
</file>

<file path=xl/sharedStrings.xml><?xml version="1.0" encoding="utf-8"?>
<sst xmlns="http://schemas.openxmlformats.org/spreadsheetml/2006/main" count="254" uniqueCount="88">
  <si>
    <t>Project</t>
  </si>
  <si>
    <t>Type</t>
  </si>
  <si>
    <t>BUA</t>
  </si>
  <si>
    <t>Phase</t>
  </si>
  <si>
    <t>Plan</t>
  </si>
  <si>
    <t>Years</t>
  </si>
  <si>
    <t>Discount %</t>
  </si>
  <si>
    <t>Down Payment Type</t>
  </si>
  <si>
    <t>Down Payment 1 %</t>
  </si>
  <si>
    <t>Down Payment 2 %</t>
  </si>
  <si>
    <t>DP2 Due (months)</t>
  </si>
  <si>
    <t>Installments Count</t>
  </si>
  <si>
    <t>Installment Every (months)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</si>
  <si>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</si>
  <si>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</si>
  <si>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</si>
  <si>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</si>
  <si>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</si>
  <si>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Maintenance Basis</t>
  </si>
  <si>
    <t>YOUD</t>
  </si>
  <si>
    <t>Primary</t>
  </si>
  <si>
    <t>5% DP &amp; 5% After 3 Months &amp; 8 Years</t>
  </si>
  <si>
    <t>Original Price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</si>
  <si>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</si>
  <si>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</si>
  <si>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</si>
  <si>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</si>
  <si>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</si>
  <si>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</si>
  <si>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</si>
  <si>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</si>
  <si>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</si>
  <si>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25% DP &amp; 25% After 3 Months No Years</t>
  </si>
  <si>
    <t>RTM</t>
  </si>
  <si>
    <t>10% DP over 2 years</t>
  </si>
  <si>
    <t>7.5% DP &amp; 7.5% After 3 months over 3 years</t>
  </si>
  <si>
    <t>10% DP &amp; 10% After 3 months over 4 years</t>
  </si>
  <si>
    <t xml:space="preserve">12.5% DP &amp; 12.5% After 3 months over 5 years </t>
  </si>
  <si>
    <t xml:space="preserve">15% DP &amp; 15% After 3 months over 6 years </t>
  </si>
  <si>
    <t>17.5% DP &amp; 17.5% After 3 months over 7 years</t>
  </si>
  <si>
    <t>20% DP &amp; 20% After 3 months over 8 years</t>
  </si>
  <si>
    <t>Cash discount 15%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</si>
  <si>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</si>
  <si>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</si>
  <si>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</si>
  <si>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</si>
  <si>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</si>
  <si>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</si>
  <si>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</si>
  <si>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</si>
  <si>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Setting</t>
  </si>
  <si>
    <t>Value</t>
  </si>
  <si>
    <t>Company Name</t>
  </si>
  <si>
    <t>Alahly Sabbour</t>
  </si>
  <si>
    <t>Currency</t>
  </si>
  <si>
    <t>EGP</t>
  </si>
  <si>
    <t>How to fill the Projects sheet</t>
  </si>
  <si>
    <t/>
  </si>
  <si>
    <t>Each row is ONE payment plan. Rows with a blank Project cell belong to the project above them.</t>
  </si>
  <si>
    <t>كل صف = نظام سداد واحد. لو خلية المشروع فاضية، الصف بيتبع المشروع اللي فوقه.</t>
  </si>
  <si>
    <t>All % columns are plain numbers in percent units: 10 means 10%, 0.99 means 0.99%.</t>
  </si>
  <si>
    <t>أعمدة النسب أرقام عادية: 10 يعني 10%، و 0.99 يعني 0.99%.</t>
  </si>
  <si>
    <t>Cells formatted as % in Excel (showing "10%") are also understood correctly.</t>
  </si>
  <si>
    <t>ولو نسّقت الخلية كنسبة مئوية في إكسل، هتتفهم صح برضه.</t>
  </si>
  <si>
    <t>Column</t>
  </si>
  <si>
    <t>Meaning / المعنى</t>
  </si>
  <si>
    <t>Project name. Leave blank to repeat the project above. / اسم المشروع — سيبها فاضية لتكرار اللي فوق</t>
  </si>
  <si>
    <t>Plan label shown in the dropdown, e.g. "8 Years" or "Cash" / اسم نظام السداد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</si>
  <si>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</si>
  <si>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</si>
  <si>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</si>
  <si>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</si>
  <si>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</si>
  <si>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</si>
  <si>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</si>
  <si>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</si>
  <si>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</si>
  <si>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</si>
  <si>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</si>
  <si>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</si>
  <si>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</si>
  <si>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</si>
  <si>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</si>
  <si>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</si>
  <si>
    <t>2,3</t>
  </si>
  <si>
    <t>1,4</t>
  </si>
  <si>
    <t>At-East</t>
  </si>
  <si>
    <t>KEEVA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</si>
</sst>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_-* #,##0_-;\-* #,##0_-;_-* &quot;-&quot;??_-;_-@_-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0"/>
  <sheetViews>
    <sheetView tabSelected="1" workbookViewId="0">
      <pane ySplit="1" topLeftCell="A2" activePane="bottomLeft" state="frozen"/>
      <selection activeCell="O1" sqref="O1"/>
      <selection pane="bottomLeft"/>
    </sheetView>
  </sheetViews>
  <sheetFormatPr defaultRowHeight="15.6" x14ac:dyDescent="0.3"/>
  <cols>
    <col min="1" max="1" width="21.19921875" customWidth="1"/>
    <col min="2" max="4" width="20.796875" customWidth="1"/>
    <col min="5" max="5" width="38.09765625" customWidth="1"/>
    <col min="6" max="6" width="7.796875" customWidth="1"/>
    <col min="7" max="7" width="11.796875" customWidth="1"/>
    <col min="8" max="8" width="18.19921875" customWidth="1"/>
    <col min="9" max="11" width="17.796875" customWidth="1"/>
    <col min="12" max="12" width="18.796875" customWidth="1"/>
    <col min="13" max="13" width="24.796875" customWidth="1"/>
    <col min="14" max="14" width="27.796875" customWidth="1"/>
    <col min="15" max="15" width="14.796875" customWidth="1"/>
    <col min="16" max="16" width="17.796875" customWidth="1"/>
    <col min="17" max="17" width="38.59765625" customWidth="1"/>
    <col min="18" max="18" width="40.69921875" customWidth="1"/>
    <col min="19" max="19" width="23.796875" customWidth="1"/>
    <col min="20" max="20" width="24.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12</v>
      </c>
      <c r="T1" t="s">
        <v>18</v>
      </c>
    </row>
    <row r="2" spans="1:20" x14ac:dyDescent="0.3">
      <c r="A2" t="s">
        <v>19</v>
      </c>
      <c r="B2" t="s">
        <v>20</v>
      </c>
      <c r="E2" t="s">
        <v>21</v>
      </c>
      <c r="F2">
        <v>8</v>
      </c>
      <c r="G2">
        <v>0</v>
      </c>
      <c r="H2" t="s">
        <v>22</v>
      </c>
      <c r="I2">
        <v>5</v>
      </c>
      <c r="J2">
        <v>5</v>
      </c>
      <c r="K2">
        <v>3</v>
      </c>
      <c r="L2">
        <v>31</v>
      </c>
      <c r="M2">
        <v>3</v>
      </c>
      <c r="N2">
        <v>6</v>
      </c>
      <c r="O2">
        <v>10</v>
      </c>
      <c r="P2">
        <f>4*12</f>
        <v>48</v>
      </c>
      <c r="Q2">
        <v>30</v>
      </c>
      <c r="R2">
        <f t="shared" ref="R2:R12" si="0">P2-6</f>
        <v>42</v>
      </c>
      <c r="S2">
        <v>6</v>
      </c>
      <c r="T2" t="s">
        <v>23</v>
      </c>
    </row>
    <row r="3" spans="1:20" x14ac:dyDescent="0.3">
      <c r="B3" t="s">
        <v>20</v>
      </c>
      <c r="E3" t="s">
        <v>24</v>
      </c>
      <c r="F3">
        <v>8</v>
      </c>
      <c r="G3">
        <v>10</v>
      </c>
      <c r="H3" t="s">
        <v>22</v>
      </c>
      <c r="I3">
        <v>10</v>
      </c>
      <c r="J3">
        <v>0</v>
      </c>
      <c r="K3">
        <v>3</v>
      </c>
      <c r="L3">
        <v>32</v>
      </c>
      <c r="M3">
        <v>3</v>
      </c>
      <c r="N3">
        <v>3</v>
      </c>
      <c r="O3">
        <v>10</v>
      </c>
      <c r="P3">
        <f>12*4</f>
        <v>48</v>
      </c>
      <c r="Q3">
        <v>30</v>
      </c>
      <c r="R3">
        <f t="shared" si="0"/>
        <v>42</v>
      </c>
      <c r="S3">
        <v>6</v>
      </c>
      <c r="T3" t="s">
        <v>23</v>
      </c>
    </row>
    <row r="4" spans="1:20" x14ac:dyDescent="0.3">
      <c r="B4" t="s">
        <v>20</v>
      </c>
      <c r="E4" t="s">
        <v>25</v>
      </c>
      <c r="F4">
        <v>8</v>
      </c>
      <c r="G4">
        <v>15</v>
      </c>
      <c r="H4" t="s">
        <v>22</v>
      </c>
      <c r="I4">
        <v>7.5</v>
      </c>
      <c r="J4">
        <v>7.5</v>
      </c>
      <c r="K4">
        <v>3</v>
      </c>
      <c r="L4">
        <v>31</v>
      </c>
      <c r="M4">
        <v>3</v>
      </c>
      <c r="N4">
        <v>6</v>
      </c>
      <c r="O4">
        <v>10</v>
      </c>
      <c r="P4">
        <f>12*4</f>
        <v>48</v>
      </c>
      <c r="Q4">
        <v>30</v>
      </c>
      <c r="R4">
        <f t="shared" si="0"/>
        <v>42</v>
      </c>
      <c r="S4">
        <v>6</v>
      </c>
      <c r="T4" t="s">
        <v>23</v>
      </c>
    </row>
    <row r="5" spans="1:20" x14ac:dyDescent="0.3">
      <c r="B5" t="s">
        <v>20</v>
      </c>
      <c r="E5" t="s">
        <v>26</v>
      </c>
      <c r="F5">
        <v>8</v>
      </c>
      <c r="G5">
        <v>20</v>
      </c>
      <c r="H5" t="s">
        <v>22</v>
      </c>
      <c r="I5">
        <v>10</v>
      </c>
      <c r="J5">
        <v>10</v>
      </c>
      <c r="K5">
        <v>3</v>
      </c>
      <c r="L5">
        <v>31</v>
      </c>
      <c r="M5">
        <v>3</v>
      </c>
      <c r="N5">
        <v>6</v>
      </c>
      <c r="O5">
        <v>10</v>
      </c>
      <c r="P5">
        <v>36</v>
      </c>
      <c r="Q5">
        <v>18</v>
      </c>
      <c r="R5">
        <f t="shared" si="0"/>
        <v>30</v>
      </c>
      <c r="S5">
        <v>6</v>
      </c>
      <c r="T5" t="s">
        <v>23</v>
      </c>
    </row>
    <row r="6" spans="1:20" x14ac:dyDescent="0.3">
      <c r="B6" t="s">
        <v>20</v>
      </c>
      <c r="E6" t="s">
        <v>27</v>
      </c>
      <c r="F6">
        <v>8</v>
      </c>
      <c r="G6">
        <v>25</v>
      </c>
      <c r="H6" t="s">
        <v>22</v>
      </c>
      <c r="I6">
        <v>12.5</v>
      </c>
      <c r="J6">
        <v>12.5</v>
      </c>
      <c r="K6">
        <v>3</v>
      </c>
      <c r="L6">
        <v>31</v>
      </c>
      <c r="M6">
        <v>3</v>
      </c>
      <c r="N6">
        <v>6</v>
      </c>
      <c r="O6">
        <v>10</v>
      </c>
      <c r="P6">
        <v>36</v>
      </c>
      <c r="Q6">
        <v>18</v>
      </c>
      <c r="R6">
        <f t="shared" si="0"/>
        <v>30</v>
      </c>
      <c r="S6">
        <v>6</v>
      </c>
      <c r="T6" t="s">
        <v>23</v>
      </c>
    </row>
    <row r="7" spans="1:20" x14ac:dyDescent="0.3">
      <c r="B7" t="s">
        <v>20</v>
      </c>
      <c r="E7" t="s">
        <v>28</v>
      </c>
      <c r="F7">
        <v>8</v>
      </c>
      <c r="G7">
        <v>30</v>
      </c>
      <c r="H7" t="s">
        <v>22</v>
      </c>
      <c r="I7">
        <v>15</v>
      </c>
      <c r="J7">
        <v>15</v>
      </c>
      <c r="K7">
        <v>3</v>
      </c>
      <c r="L7">
        <v>31</v>
      </c>
      <c r="M7">
        <v>3</v>
      </c>
      <c r="N7">
        <v>6</v>
      </c>
      <c r="O7">
        <v>10</v>
      </c>
      <c r="P7">
        <v>36</v>
      </c>
      <c r="Q7">
        <v>18</v>
      </c>
      <c r="R7">
        <f t="shared" si="0"/>
        <v>30</v>
      </c>
      <c r="S7">
        <v>6</v>
      </c>
      <c r="T7" t="s">
        <v>23</v>
      </c>
    </row>
    <row r="8" spans="1:20" x14ac:dyDescent="0.3">
      <c r="B8" t="s">
        <v>20</v>
      </c>
      <c r="E8" t="s">
        <v>29</v>
      </c>
      <c r="F8">
        <v>8</v>
      </c>
      <c r="G8">
        <v>35</v>
      </c>
      <c r="H8" t="s">
        <v>22</v>
      </c>
      <c r="I8">
        <v>17.5</v>
      </c>
      <c r="J8">
        <v>17.5</v>
      </c>
      <c r="K8">
        <v>3</v>
      </c>
      <c r="L8">
        <v>31</v>
      </c>
      <c r="M8">
        <v>3</v>
      </c>
      <c r="N8">
        <v>6</v>
      </c>
      <c r="O8">
        <v>10</v>
      </c>
      <c r="P8">
        <v>36</v>
      </c>
      <c r="Q8">
        <v>18</v>
      </c>
      <c r="R8">
        <f t="shared" si="0"/>
        <v>30</v>
      </c>
      <c r="S8">
        <v>6</v>
      </c>
      <c r="T8" t="s">
        <v>23</v>
      </c>
    </row>
    <row r="9" spans="1:20" x14ac:dyDescent="0.3">
      <c r="B9" t="s">
        <v>20</v>
      </c>
      <c r="E9" t="s">
        <v>30</v>
      </c>
      <c r="F9">
        <v>8</v>
      </c>
      <c r="G9">
        <v>40</v>
      </c>
      <c r="H9" t="s">
        <v>22</v>
      </c>
      <c r="I9">
        <v>20</v>
      </c>
      <c r="J9">
        <v>20</v>
      </c>
      <c r="K9">
        <v>3</v>
      </c>
      <c r="L9">
        <v>31</v>
      </c>
      <c r="M9">
        <v>3</v>
      </c>
      <c r="N9">
        <v>6</v>
      </c>
      <c r="O9">
        <v>10</v>
      </c>
      <c r="P9">
        <v>36</v>
      </c>
      <c r="Q9">
        <v>18</v>
      </c>
      <c r="R9">
        <f t="shared" si="0"/>
        <v>30</v>
      </c>
      <c r="S9">
        <v>6</v>
      </c>
      <c r="T9" t="s">
        <v>23</v>
      </c>
    </row>
    <row r="10" spans="1:20" x14ac:dyDescent="0.3">
      <c r="B10" t="s">
        <v>20</v>
      </c>
      <c r="E10" t="s">
        <v>31</v>
      </c>
      <c r="F10">
        <v>8</v>
      </c>
      <c r="G10">
        <v>45</v>
      </c>
      <c r="H10" t="s">
        <v>22</v>
      </c>
      <c r="I10">
        <v>22.5</v>
      </c>
      <c r="J10">
        <v>22.5</v>
      </c>
      <c r="K10">
        <v>3</v>
      </c>
      <c r="L10">
        <v>31</v>
      </c>
      <c r="M10">
        <v>3</v>
      </c>
      <c r="N10">
        <v>6</v>
      </c>
      <c r="O10">
        <v>10</v>
      </c>
      <c r="P10">
        <v>36</v>
      </c>
      <c r="Q10">
        <v>18</v>
      </c>
      <c r="R10">
        <f t="shared" si="0"/>
        <v>30</v>
      </c>
      <c r="S10">
        <v>6</v>
      </c>
      <c r="T10" t="s">
        <v>23</v>
      </c>
    </row>
    <row r="11" spans="1:20" x14ac:dyDescent="0.3">
      <c r="B11" t="s">
        <v>20</v>
      </c>
      <c r="D11" t="s">
        <v>84</v>
      </c>
      <c r="E11" t="s">
        <v>32</v>
      </c>
      <c r="F11">
        <v>0</v>
      </c>
      <c r="G11">
        <v>50</v>
      </c>
      <c r="H11" t="s">
        <v>22</v>
      </c>
      <c r="I11">
        <v>25</v>
      </c>
      <c r="J11">
        <v>25</v>
      </c>
      <c r="K11">
        <v>3</v>
      </c>
      <c r="L11">
        <v>1</v>
      </c>
      <c r="M11">
        <v>3</v>
      </c>
      <c r="N11">
        <v>6</v>
      </c>
      <c r="O11">
        <v>10</v>
      </c>
      <c r="P11">
        <v>24</v>
      </c>
      <c r="Q11">
        <v>18</v>
      </c>
      <c r="R11">
        <v>30</v>
      </c>
      <c r="S11">
        <v>6</v>
      </c>
      <c r="T11" t="s">
        <v>23</v>
      </c>
    </row>
    <row r="12" spans="1:20" x14ac:dyDescent="0.3">
      <c r="B12" t="s">
        <v>20</v>
      </c>
      <c r="D12" t="s">
        <v>85</v>
      </c>
      <c r="E12" t="s">
        <v>32</v>
      </c>
      <c r="F12">
        <v>0</v>
      </c>
      <c r="G12">
        <v>50</v>
      </c>
      <c r="H12" t="s">
        <v>22</v>
      </c>
      <c r="I12">
        <v>25</v>
      </c>
      <c r="J12">
        <v>25</v>
      </c>
      <c r="K12">
        <v>3</v>
      </c>
      <c r="L12">
        <v>1</v>
      </c>
      <c r="M12">
        <v>3</v>
      </c>
      <c r="N12">
        <v>6</v>
      </c>
      <c r="O12">
        <v>10</v>
      </c>
      <c r="P12">
        <v>36</v>
      </c>
      <c r="Q12">
        <v>18</v>
      </c>
      <c r="R12">
        <f t="shared" si="0"/>
        <v>30</v>
      </c>
      <c r="S12">
        <v>6</v>
      </c>
      <c r="T12" t="s">
        <v>23</v>
      </c>
    </row>
    <row r="13" spans="1:20" x14ac:dyDescent="0.3">
      <c r="B13" t="s">
        <v>33</v>
      </c>
      <c r="E13" t="s">
        <v>34</v>
      </c>
      <c r="F13">
        <v>2</v>
      </c>
      <c r="G13">
        <v>0</v>
      </c>
      <c r="H13" t="s">
        <v>22</v>
      </c>
      <c r="I13">
        <v>10</v>
      </c>
      <c r="J13">
        <v>0</v>
      </c>
      <c r="K13">
        <v>0</v>
      </c>
      <c r="L13">
        <v>8</v>
      </c>
      <c r="M13">
        <v>3</v>
      </c>
      <c r="N13">
        <v>3</v>
      </c>
      <c r="O13">
        <v>10</v>
      </c>
      <c r="P13">
        <v>0</v>
      </c>
      <c r="Q13">
        <v>0</v>
      </c>
      <c r="R13">
        <v>9</v>
      </c>
      <c r="S13">
        <v>3</v>
      </c>
      <c r="T13" t="s">
        <v>23</v>
      </c>
    </row>
    <row r="14" spans="1:20" x14ac:dyDescent="0.3">
      <c r="B14" t="s">
        <v>33</v>
      </c>
      <c r="E14" t="s">
        <v>35</v>
      </c>
      <c r="F14">
        <v>3</v>
      </c>
      <c r="G14">
        <v>0</v>
      </c>
      <c r="H14" t="s">
        <v>22</v>
      </c>
      <c r="I14">
        <v>7.5</v>
      </c>
      <c r="J14">
        <v>7.5</v>
      </c>
      <c r="K14">
        <v>3</v>
      </c>
      <c r="L14">
        <f>3*4-1</f>
        <v>11</v>
      </c>
      <c r="M14">
        <v>3</v>
      </c>
      <c r="N14">
        <v>6</v>
      </c>
      <c r="O14">
        <v>10</v>
      </c>
      <c r="P14">
        <v>0</v>
      </c>
      <c r="Q14">
        <v>0</v>
      </c>
      <c r="R14">
        <v>9</v>
      </c>
      <c r="S14">
        <v>3</v>
      </c>
      <c r="T14" t="s">
        <v>23</v>
      </c>
    </row>
    <row r="15" spans="1:20" x14ac:dyDescent="0.3">
      <c r="B15" t="s">
        <v>33</v>
      </c>
      <c r="E15" t="s">
        <v>36</v>
      </c>
      <c r="F15">
        <v>4</v>
      </c>
      <c r="G15">
        <v>0</v>
      </c>
      <c r="H15" t="s">
        <v>22</v>
      </c>
      <c r="I15">
        <v>10</v>
      </c>
      <c r="J15">
        <v>10</v>
      </c>
      <c r="K15">
        <v>3</v>
      </c>
      <c r="L15">
        <f>4*4-1</f>
        <v>15</v>
      </c>
      <c r="M15">
        <v>3</v>
      </c>
      <c r="N15">
        <v>6</v>
      </c>
      <c r="O15">
        <v>10</v>
      </c>
      <c r="P15">
        <v>0</v>
      </c>
      <c r="Q15">
        <v>0</v>
      </c>
      <c r="R15">
        <v>9</v>
      </c>
      <c r="S15">
        <v>3</v>
      </c>
      <c r="T15" t="s">
        <v>23</v>
      </c>
    </row>
    <row r="16" spans="1:20" x14ac:dyDescent="0.3">
      <c r="B16" t="s">
        <v>33</v>
      </c>
      <c r="E16" t="s">
        <v>37</v>
      </c>
      <c r="F16">
        <v>5</v>
      </c>
      <c r="G16">
        <v>0</v>
      </c>
      <c r="H16" t="s">
        <v>22</v>
      </c>
      <c r="I16">
        <v>12.5</v>
      </c>
      <c r="J16">
        <v>12.5</v>
      </c>
      <c r="K16">
        <v>3</v>
      </c>
      <c r="L16">
        <f>5*4-1</f>
        <v>19</v>
      </c>
      <c r="M16">
        <v>3</v>
      </c>
      <c r="N16">
        <v>6</v>
      </c>
      <c r="O16">
        <v>10</v>
      </c>
      <c r="P16">
        <v>0</v>
      </c>
      <c r="Q16">
        <v>0</v>
      </c>
      <c r="R16">
        <v>9</v>
      </c>
      <c r="S16">
        <v>3</v>
      </c>
      <c r="T16" t="s">
        <v>23</v>
      </c>
    </row>
    <row r="17" spans="1:20" x14ac:dyDescent="0.3">
      <c r="B17" t="s">
        <v>33</v>
      </c>
      <c r="E17" t="s">
        <v>38</v>
      </c>
      <c r="F17">
        <v>6</v>
      </c>
      <c r="G17">
        <v>0</v>
      </c>
      <c r="H17" t="s">
        <v>22</v>
      </c>
      <c r="I17">
        <v>15</v>
      </c>
      <c r="J17">
        <v>15</v>
      </c>
      <c r="K17">
        <v>3</v>
      </c>
      <c r="L17">
        <f>6*4-1</f>
        <v>23</v>
      </c>
      <c r="M17">
        <v>3</v>
      </c>
      <c r="N17">
        <v>6</v>
      </c>
      <c r="O17">
        <v>10</v>
      </c>
      <c r="P17">
        <v>0</v>
      </c>
      <c r="Q17">
        <v>0</v>
      </c>
      <c r="R17">
        <v>9</v>
      </c>
      <c r="S17">
        <v>3</v>
      </c>
      <c r="T17" t="s">
        <v>23</v>
      </c>
    </row>
    <row r="18" spans="1:20" x14ac:dyDescent="0.3">
      <c r="B18" t="s">
        <v>33</v>
      </c>
      <c r="E18" t="s">
        <v>39</v>
      </c>
      <c r="F18">
        <v>7</v>
      </c>
      <c r="G18">
        <v>0</v>
      </c>
      <c r="H18" t="s">
        <v>22</v>
      </c>
      <c r="I18">
        <v>17.5</v>
      </c>
      <c r="J18">
        <v>17.5</v>
      </c>
      <c r="K18">
        <v>3</v>
      </c>
      <c r="L18">
        <f>7*4-1</f>
        <v>27</v>
      </c>
      <c r="M18">
        <v>3</v>
      </c>
      <c r="N18">
        <v>6</v>
      </c>
      <c r="O18">
        <v>10</v>
      </c>
      <c r="P18">
        <v>0</v>
      </c>
      <c r="Q18">
        <v>0</v>
      </c>
      <c r="R18">
        <v>9</v>
      </c>
      <c r="S18">
        <v>3</v>
      </c>
      <c r="T18" t="s">
        <v>23</v>
      </c>
    </row>
    <row r="19" spans="1:20" x14ac:dyDescent="0.3">
      <c r="B19" t="s">
        <v>33</v>
      </c>
      <c r="E19" t="s">
        <v>40</v>
      </c>
      <c r="F19">
        <v>8</v>
      </c>
      <c r="G19">
        <v>0</v>
      </c>
      <c r="H19" t="s">
        <v>22</v>
      </c>
      <c r="I19">
        <v>20</v>
      </c>
      <c r="J19">
        <v>20</v>
      </c>
      <c r="K19">
        <v>3</v>
      </c>
      <c r="L19">
        <f>8*4-1</f>
        <v>31</v>
      </c>
      <c r="M19">
        <v>3</v>
      </c>
      <c r="N19">
        <v>6</v>
      </c>
      <c r="O19">
        <v>10</v>
      </c>
      <c r="P19">
        <v>0</v>
      </c>
      <c r="Q19">
        <v>0</v>
      </c>
      <c r="R19">
        <v>9</v>
      </c>
      <c r="S19">
        <v>3</v>
      </c>
      <c r="T19" t="s">
        <v>23</v>
      </c>
    </row>
    <row r="20" spans="1:20" x14ac:dyDescent="0.3">
      <c r="B20" t="s">
        <v>33</v>
      </c>
      <c r="E20" t="s">
        <v>41</v>
      </c>
      <c r="F20">
        <v>0</v>
      </c>
      <c r="G20">
        <v>15</v>
      </c>
      <c r="H20" t="s">
        <v>23</v>
      </c>
      <c r="I20">
        <v>100</v>
      </c>
      <c r="J20">
        <v>0</v>
      </c>
      <c r="K20">
        <v>0</v>
      </c>
      <c r="L20">
        <v>0</v>
      </c>
      <c r="M20">
        <v>0</v>
      </c>
      <c r="N20">
        <v>0</v>
      </c>
      <c r="O20">
        <v>10</v>
      </c>
      <c r="P20">
        <v>0</v>
      </c>
      <c r="Q20">
        <v>0</v>
      </c>
      <c r="R20">
        <v>9</v>
      </c>
      <c r="S20">
        <v>3</v>
      </c>
      <c r="T20" t="s">
        <v>23</v>
      </c>
    </row>
    <row r="21" spans="1:20" x14ac:dyDescent="0.3">
      <c r="A21" t="s">
        <v>42</v>
      </c>
      <c r="B21" t="s">
        <v>43</v>
      </c>
      <c r="E21" t="s">
        <v>44</v>
      </c>
      <c r="F21">
        <v>0</v>
      </c>
      <c r="G21">
        <v>25</v>
      </c>
      <c r="H21" t="s">
        <v>23</v>
      </c>
      <c r="I21">
        <v>100</v>
      </c>
      <c r="J21">
        <v>0</v>
      </c>
      <c r="K21">
        <v>0</v>
      </c>
      <c r="L21">
        <v>0</v>
      </c>
      <c r="M21">
        <v>0</v>
      </c>
      <c r="N21">
        <v>0</v>
      </c>
      <c r="O21">
        <v>10</v>
      </c>
      <c r="P21">
        <v>42</v>
      </c>
      <c r="Q21">
        <v>15</v>
      </c>
      <c r="R21">
        <v>39</v>
      </c>
      <c r="S21">
        <v>6</v>
      </c>
      <c r="T21" t="s">
        <v>22</v>
      </c>
    </row>
    <row r="22" spans="1:20" x14ac:dyDescent="0.3">
      <c r="B22" t="s">
        <v>43</v>
      </c>
      <c r="E22" t="s">
        <v>45</v>
      </c>
      <c r="F22">
        <v>8</v>
      </c>
      <c r="G22">
        <v>0</v>
      </c>
      <c r="H22" t="s">
        <v>22</v>
      </c>
      <c r="I22">
        <v>5</v>
      </c>
      <c r="J22">
        <v>5</v>
      </c>
      <c r="K22">
        <v>3</v>
      </c>
      <c r="L22">
        <v>31</v>
      </c>
      <c r="M22">
        <v>3</v>
      </c>
      <c r="N22">
        <v>6</v>
      </c>
      <c r="O22">
        <v>10</v>
      </c>
      <c r="P22">
        <v>42</v>
      </c>
      <c r="Q22">
        <v>15</v>
      </c>
      <c r="R22">
        <v>39</v>
      </c>
      <c r="S22">
        <v>6</v>
      </c>
      <c r="T22" t="s">
        <v>22</v>
      </c>
    </row>
    <row r="23" spans="1:20" x14ac:dyDescent="0.3">
      <c r="B23" t="s">
        <v>43</v>
      </c>
      <c r="E23" t="s">
        <v>46</v>
      </c>
      <c r="F23">
        <v>7</v>
      </c>
      <c r="G23">
        <v>3</v>
      </c>
      <c r="H23" t="s">
        <v>22</v>
      </c>
      <c r="I23">
        <v>5</v>
      </c>
      <c r="J23">
        <v>5</v>
      </c>
      <c r="K23">
        <v>3</v>
      </c>
      <c r="L23">
        <v>31</v>
      </c>
      <c r="M23">
        <v>3</v>
      </c>
      <c r="N23">
        <v>6</v>
      </c>
      <c r="O23">
        <v>10</v>
      </c>
      <c r="P23">
        <v>42</v>
      </c>
      <c r="Q23">
        <v>15</v>
      </c>
      <c r="R23">
        <v>39</v>
      </c>
      <c r="S23">
        <v>6</v>
      </c>
      <c r="T23" t="s">
        <v>22</v>
      </c>
    </row>
    <row r="24" spans="1:20" x14ac:dyDescent="0.3">
      <c r="B24" t="s">
        <v>43</v>
      </c>
      <c r="E24" t="s">
        <v>47</v>
      </c>
      <c r="F24">
        <v>6</v>
      </c>
      <c r="G24">
        <v>6</v>
      </c>
      <c r="H24" t="s">
        <v>22</v>
      </c>
      <c r="I24">
        <v>5</v>
      </c>
      <c r="J24">
        <v>5</v>
      </c>
      <c r="K24">
        <v>3</v>
      </c>
      <c r="L24">
        <v>31</v>
      </c>
      <c r="M24">
        <v>3</v>
      </c>
      <c r="N24">
        <v>6</v>
      </c>
      <c r="O24">
        <v>10</v>
      </c>
      <c r="P24">
        <v>42</v>
      </c>
      <c r="Q24">
        <v>15</v>
      </c>
      <c r="R24">
        <v>39</v>
      </c>
      <c r="S24">
        <v>6</v>
      </c>
      <c r="T24" t="s">
        <v>22</v>
      </c>
    </row>
    <row r="25" spans="1:20" x14ac:dyDescent="0.3">
      <c r="B25" t="s">
        <v>43</v>
      </c>
      <c r="E25" t="s">
        <v>48</v>
      </c>
      <c r="F25">
        <v>5</v>
      </c>
      <c r="G25">
        <v>9</v>
      </c>
      <c r="H25" t="s">
        <v>22</v>
      </c>
      <c r="I25">
        <v>5</v>
      </c>
      <c r="J25">
        <v>5</v>
      </c>
      <c r="K25">
        <v>3</v>
      </c>
      <c r="L25">
        <v>31</v>
      </c>
      <c r="M25">
        <v>3</v>
      </c>
      <c r="N25">
        <v>6</v>
      </c>
      <c r="O25">
        <v>10</v>
      </c>
      <c r="P25">
        <v>42</v>
      </c>
      <c r="Q25">
        <v>15</v>
      </c>
      <c r="R25">
        <v>39</v>
      </c>
      <c r="S25">
        <v>6</v>
      </c>
      <c r="T25" t="s">
        <v>22</v>
      </c>
    </row>
    <row r="26" spans="1:20" x14ac:dyDescent="0.3">
      <c r="B26" t="s">
        <v>49</v>
      </c>
      <c r="C26" s="1">
        <v>20000</v>
      </c>
      <c r="E26" t="s">
        <v>44</v>
      </c>
      <c r="F26">
        <v>0</v>
      </c>
      <c r="G26">
        <v>25</v>
      </c>
      <c r="H26" t="s">
        <v>23</v>
      </c>
      <c r="I26">
        <v>100</v>
      </c>
      <c r="J26">
        <v>0</v>
      </c>
      <c r="K26">
        <v>0</v>
      </c>
      <c r="L26">
        <v>0</v>
      </c>
      <c r="M26">
        <v>0</v>
      </c>
      <c r="N26">
        <v>0</v>
      </c>
      <c r="O26">
        <v>10</v>
      </c>
      <c r="P26">
        <v>42</v>
      </c>
      <c r="Q26">
        <v>15</v>
      </c>
      <c r="R26">
        <v>39</v>
      </c>
      <c r="S26">
        <v>6</v>
      </c>
      <c r="T26" t="s">
        <v>23</v>
      </c>
    </row>
    <row r="27" spans="1:20" x14ac:dyDescent="0.3">
      <c r="B27" t="s">
        <v>49</v>
      </c>
      <c r="C27" s="1">
        <v>20000</v>
      </c>
      <c r="E27" t="s">
        <v>45</v>
      </c>
      <c r="F27">
        <v>8</v>
      </c>
      <c r="G27">
        <v>0</v>
      </c>
      <c r="H27" t="s">
        <v>23</v>
      </c>
      <c r="I27">
        <v>5</v>
      </c>
      <c r="J27">
        <v>5</v>
      </c>
      <c r="K27">
        <v>3</v>
      </c>
      <c r="L27">
        <v>31</v>
      </c>
      <c r="M27">
        <v>3</v>
      </c>
      <c r="N27">
        <v>6</v>
      </c>
      <c r="O27">
        <v>10</v>
      </c>
      <c r="P27">
        <v>42</v>
      </c>
      <c r="Q27">
        <v>15</v>
      </c>
      <c r="R27">
        <v>39</v>
      </c>
      <c r="S27">
        <v>6</v>
      </c>
      <c r="T27" t="s">
        <v>23</v>
      </c>
    </row>
    <row r="28" spans="1:20" x14ac:dyDescent="0.3">
      <c r="B28" t="s">
        <v>49</v>
      </c>
      <c r="C28" s="1">
        <v>20000</v>
      </c>
      <c r="E28" t="s">
        <v>46</v>
      </c>
      <c r="F28">
        <v>7</v>
      </c>
      <c r="G28">
        <v>3</v>
      </c>
      <c r="H28" t="s">
        <v>23</v>
      </c>
      <c r="I28">
        <v>5</v>
      </c>
      <c r="J28">
        <v>5</v>
      </c>
      <c r="K28">
        <v>3</v>
      </c>
      <c r="L28">
        <v>31</v>
      </c>
      <c r="M28">
        <v>3</v>
      </c>
      <c r="N28">
        <v>6</v>
      </c>
      <c r="O28">
        <v>10</v>
      </c>
      <c r="P28">
        <v>42</v>
      </c>
      <c r="Q28">
        <v>15</v>
      </c>
      <c r="R28">
        <v>39</v>
      </c>
      <c r="S28">
        <v>6</v>
      </c>
      <c r="T28" t="s">
        <v>23</v>
      </c>
    </row>
    <row r="29" spans="1:20" x14ac:dyDescent="0.3">
      <c r="B29" t="s">
        <v>49</v>
      </c>
      <c r="C29" s="1">
        <v>20000</v>
      </c>
      <c r="E29" t="s">
        <v>47</v>
      </c>
      <c r="F29">
        <v>6</v>
      </c>
      <c r="G29">
        <v>6</v>
      </c>
      <c r="H29" t="s">
        <v>23</v>
      </c>
      <c r="I29">
        <v>5</v>
      </c>
      <c r="J29">
        <v>5</v>
      </c>
      <c r="K29">
        <v>3</v>
      </c>
      <c r="L29">
        <v>31</v>
      </c>
      <c r="M29">
        <v>3</v>
      </c>
      <c r="N29">
        <v>6</v>
      </c>
      <c r="O29">
        <v>10</v>
      </c>
      <c r="P29">
        <v>42</v>
      </c>
      <c r="Q29">
        <v>15</v>
      </c>
      <c r="R29">
        <v>39</v>
      </c>
      <c r="S29">
        <v>6</v>
      </c>
      <c r="T29" t="s">
        <v>23</v>
      </c>
    </row>
    <row r="30" spans="1:20" x14ac:dyDescent="0.3">
      <c r="B30" t="s">
        <v>49</v>
      </c>
      <c r="C30" s="1">
        <v>20000</v>
      </c>
      <c r="E30" t="s">
        <v>48</v>
      </c>
      <c r="F30">
        <v>5</v>
      </c>
      <c r="G30">
        <v>9</v>
      </c>
      <c r="H30" t="s">
        <v>23</v>
      </c>
      <c r="I30">
        <v>5</v>
      </c>
      <c r="J30">
        <v>5</v>
      </c>
      <c r="K30">
        <v>3</v>
      </c>
      <c r="L30">
        <v>31</v>
      </c>
      <c r="M30">
        <v>3</v>
      </c>
      <c r="N30">
        <v>6</v>
      </c>
      <c r="O30">
        <v>10</v>
      </c>
      <c r="P30">
        <v>42</v>
      </c>
      <c r="Q30">
        <v>15</v>
      </c>
      <c r="R30">
        <v>39</v>
      </c>
      <c r="S30">
        <v>6</v>
      </c>
      <c r="T30" t="s">
        <v>23</v>
      </c>
    </row>
    <row r="31" spans="1:20" x14ac:dyDescent="0.3">
      <c r="A31" t="s">
        <v>86</v>
      </c>
      <c r="E31" t="s">
        <v>21</v>
      </c>
      <c r="F31">
        <v>8</v>
      </c>
      <c r="G31">
        <v>0</v>
      </c>
      <c r="H31" t="s">
        <v>22</v>
      </c>
      <c r="I31">
        <v>5</v>
      </c>
      <c r="J31">
        <v>5</v>
      </c>
      <c r="K31">
        <v>3</v>
      </c>
      <c r="L31">
        <v>31</v>
      </c>
      <c r="M31">
        <v>3</v>
      </c>
      <c r="N31">
        <v>6</v>
      </c>
      <c r="O31">
        <v>10</v>
      </c>
      <c r="P31">
        <f>4*12</f>
        <v>48</v>
      </c>
      <c r="Q31">
        <v>18</v>
      </c>
      <c r="R31">
        <v>48</v>
      </c>
      <c r="S31">
        <v>6</v>
      </c>
      <c r="T31" t="s">
        <v>22</v>
      </c>
    </row>
    <row r="32" spans="1:20" x14ac:dyDescent="0.3">
      <c r="E32" t="s">
        <v>24</v>
      </c>
      <c r="F32">
        <v>8</v>
      </c>
      <c r="G32">
        <v>10</v>
      </c>
      <c r="H32" t="s">
        <v>22</v>
      </c>
      <c r="I32">
        <v>10</v>
      </c>
      <c r="J32">
        <v>0</v>
      </c>
      <c r="K32">
        <v>3</v>
      </c>
      <c r="L32">
        <v>32</v>
      </c>
      <c r="M32">
        <v>3</v>
      </c>
      <c r="N32">
        <v>3</v>
      </c>
      <c r="O32">
        <v>10</v>
      </c>
      <c r="P32">
        <f t="shared" ref="P32:P40" si="1">4*12</f>
        <v>48</v>
      </c>
      <c r="Q32">
        <v>18</v>
      </c>
      <c r="R32">
        <v>48</v>
      </c>
      <c r="S32">
        <v>6</v>
      </c>
      <c r="T32" t="s">
        <v>22</v>
      </c>
    </row>
    <row r="33" spans="1:20" x14ac:dyDescent="0.3">
      <c r="E33" t="s">
        <v>25</v>
      </c>
      <c r="F33">
        <v>8</v>
      </c>
      <c r="G33">
        <v>15</v>
      </c>
      <c r="H33" t="s">
        <v>22</v>
      </c>
      <c r="I33">
        <v>7.5</v>
      </c>
      <c r="J33">
        <v>7.5</v>
      </c>
      <c r="K33">
        <v>3</v>
      </c>
      <c r="L33">
        <v>31</v>
      </c>
      <c r="M33">
        <v>3</v>
      </c>
      <c r="N33">
        <v>6</v>
      </c>
      <c r="O33">
        <v>10</v>
      </c>
      <c r="P33">
        <f t="shared" si="1"/>
        <v>48</v>
      </c>
      <c r="Q33">
        <v>18</v>
      </c>
      <c r="R33">
        <v>48</v>
      </c>
      <c r="S33">
        <v>6</v>
      </c>
      <c r="T33" t="s">
        <v>22</v>
      </c>
    </row>
    <row r="34" spans="1:20" x14ac:dyDescent="0.3">
      <c r="E34" t="s">
        <v>26</v>
      </c>
      <c r="F34">
        <v>8</v>
      </c>
      <c r="G34">
        <v>20</v>
      </c>
      <c r="H34" t="s">
        <v>22</v>
      </c>
      <c r="I34">
        <v>10</v>
      </c>
      <c r="J34">
        <v>10</v>
      </c>
      <c r="K34">
        <v>3</v>
      </c>
      <c r="L34">
        <v>31</v>
      </c>
      <c r="M34">
        <v>3</v>
      </c>
      <c r="N34">
        <v>6</v>
      </c>
      <c r="O34">
        <v>10</v>
      </c>
      <c r="P34">
        <f t="shared" si="1"/>
        <v>48</v>
      </c>
      <c r="Q34">
        <v>18</v>
      </c>
      <c r="R34">
        <v>48</v>
      </c>
      <c r="S34">
        <v>6</v>
      </c>
      <c r="T34" t="s">
        <v>22</v>
      </c>
    </row>
    <row r="35" spans="1:20" x14ac:dyDescent="0.3">
      <c r="E35" t="s">
        <v>27</v>
      </c>
      <c r="F35">
        <v>8</v>
      </c>
      <c r="G35">
        <v>25</v>
      </c>
      <c r="H35" t="s">
        <v>22</v>
      </c>
      <c r="I35">
        <v>12.5</v>
      </c>
      <c r="J35">
        <v>12.5</v>
      </c>
      <c r="K35">
        <v>3</v>
      </c>
      <c r="L35">
        <v>31</v>
      </c>
      <c r="M35">
        <v>3</v>
      </c>
      <c r="N35">
        <v>6</v>
      </c>
      <c r="O35">
        <v>10</v>
      </c>
      <c r="P35">
        <f t="shared" si="1"/>
        <v>48</v>
      </c>
      <c r="Q35">
        <v>18</v>
      </c>
      <c r="R35">
        <v>48</v>
      </c>
      <c r="S35">
        <v>6</v>
      </c>
      <c r="T35" t="s">
        <v>22</v>
      </c>
    </row>
    <row r="36" spans="1:20" x14ac:dyDescent="0.3">
      <c r="E36" t="s">
        <v>28</v>
      </c>
      <c r="F36">
        <v>8</v>
      </c>
      <c r="G36">
        <v>30</v>
      </c>
      <c r="H36" t="s">
        <v>22</v>
      </c>
      <c r="I36">
        <v>15</v>
      </c>
      <c r="J36">
        <v>15</v>
      </c>
      <c r="K36">
        <v>3</v>
      </c>
      <c r="L36">
        <v>31</v>
      </c>
      <c r="M36">
        <v>3</v>
      </c>
      <c r="N36">
        <v>6</v>
      </c>
      <c r="O36">
        <v>10</v>
      </c>
      <c r="P36">
        <f t="shared" si="1"/>
        <v>48</v>
      </c>
      <c r="Q36">
        <v>18</v>
      </c>
      <c r="R36">
        <v>48</v>
      </c>
      <c r="S36">
        <v>6</v>
      </c>
      <c r="T36" t="s">
        <v>22</v>
      </c>
    </row>
    <row r="37" spans="1:20" x14ac:dyDescent="0.3">
      <c r="E37" t="s">
        <v>29</v>
      </c>
      <c r="F37">
        <v>8</v>
      </c>
      <c r="G37">
        <v>35</v>
      </c>
      <c r="H37" t="s">
        <v>22</v>
      </c>
      <c r="I37">
        <v>17.5</v>
      </c>
      <c r="J37">
        <v>17.5</v>
      </c>
      <c r="K37">
        <v>3</v>
      </c>
      <c r="L37">
        <v>31</v>
      </c>
      <c r="M37">
        <v>3</v>
      </c>
      <c r="N37">
        <v>6</v>
      </c>
      <c r="O37">
        <v>10</v>
      </c>
      <c r="P37">
        <f t="shared" si="1"/>
        <v>48</v>
      </c>
      <c r="Q37">
        <v>18</v>
      </c>
      <c r="R37">
        <v>48</v>
      </c>
      <c r="S37">
        <v>6</v>
      </c>
      <c r="T37" t="s">
        <v>22</v>
      </c>
    </row>
    <row r="38" spans="1:20" x14ac:dyDescent="0.3">
      <c r="E38" t="s">
        <v>30</v>
      </c>
      <c r="F38">
        <v>8</v>
      </c>
      <c r="G38">
        <v>40</v>
      </c>
      <c r="H38" t="s">
        <v>22</v>
      </c>
      <c r="I38">
        <v>20</v>
      </c>
      <c r="J38">
        <v>20</v>
      </c>
      <c r="K38">
        <v>3</v>
      </c>
      <c r="L38">
        <v>31</v>
      </c>
      <c r="M38">
        <v>3</v>
      </c>
      <c r="N38">
        <v>6</v>
      </c>
      <c r="O38">
        <v>10</v>
      </c>
      <c r="P38">
        <f t="shared" si="1"/>
        <v>48</v>
      </c>
      <c r="Q38">
        <v>18</v>
      </c>
      <c r="R38">
        <v>48</v>
      </c>
      <c r="S38">
        <v>6</v>
      </c>
      <c r="T38" t="s">
        <v>22</v>
      </c>
    </row>
    <row r="39" spans="1:20" x14ac:dyDescent="0.3">
      <c r="E39" t="s">
        <v>31</v>
      </c>
      <c r="F39">
        <v>8</v>
      </c>
      <c r="G39">
        <v>45</v>
      </c>
      <c r="H39" t="s">
        <v>22</v>
      </c>
      <c r="I39">
        <v>22.5</v>
      </c>
      <c r="J39">
        <v>22.5</v>
      </c>
      <c r="K39">
        <v>3</v>
      </c>
      <c r="L39">
        <v>31</v>
      </c>
      <c r="M39">
        <v>3</v>
      </c>
      <c r="N39">
        <v>6</v>
      </c>
      <c r="O39">
        <v>10</v>
      </c>
      <c r="P39">
        <f t="shared" si="1"/>
        <v>48</v>
      </c>
      <c r="Q39">
        <v>18</v>
      </c>
      <c r="R39">
        <v>48</v>
      </c>
      <c r="S39">
        <v>6</v>
      </c>
      <c r="T39" t="s">
        <v>22</v>
      </c>
    </row>
    <row r="40" spans="1:20" x14ac:dyDescent="0.3">
      <c r="E40" t="s">
        <v>32</v>
      </c>
      <c r="F40">
        <v>0</v>
      </c>
      <c r="G40">
        <v>50</v>
      </c>
      <c r="H40" t="s">
        <v>22</v>
      </c>
      <c r="I40">
        <v>25</v>
      </c>
      <c r="J40">
        <v>25</v>
      </c>
      <c r="K40">
        <v>3</v>
      </c>
      <c r="L40">
        <v>1</v>
      </c>
      <c r="M40">
        <v>3</v>
      </c>
      <c r="N40">
        <v>6</v>
      </c>
      <c r="O40">
        <v>10</v>
      </c>
      <c r="P40">
        <f t="shared" si="1"/>
        <v>48</v>
      </c>
      <c r="Q40">
        <v>18</v>
      </c>
      <c r="R40">
        <v>48</v>
      </c>
      <c r="S40">
        <v>6</v>
      </c>
      <c r="T40" t="s">
        <v>22</v>
      </c>
    </row>
    <row r="41" spans="1:20" x14ac:dyDescent="0.3">
      <c r="A41" t="s">
        <v>87</v>
      </c>
      <c r="E41" t="s">
        <v>21</v>
      </c>
      <c r="F41">
        <v>8</v>
      </c>
      <c r="G41">
        <v>0</v>
      </c>
      <c r="H41" t="s">
        <v>22</v>
      </c>
      <c r="I41">
        <v>5</v>
      </c>
      <c r="J41">
        <v>5</v>
      </c>
      <c r="K41">
        <v>3</v>
      </c>
      <c r="L41">
        <v>31</v>
      </c>
      <c r="M41">
        <v>3</v>
      </c>
      <c r="N41">
        <v>6</v>
      </c>
      <c r="O41">
        <v>10</v>
      </c>
      <c r="P41">
        <v>24</v>
      </c>
      <c r="Q41">
        <v>6</v>
      </c>
      <c r="R41">
        <v>24</v>
      </c>
      <c r="S41">
        <v>3</v>
      </c>
      <c r="T41" t="s">
        <v>22</v>
      </c>
    </row>
    <row r="42" spans="1:20" x14ac:dyDescent="0.3">
      <c r="E42" t="s">
        <v>24</v>
      </c>
      <c r="F42">
        <v>8</v>
      </c>
      <c r="G42">
        <v>10</v>
      </c>
      <c r="H42" t="s">
        <v>22</v>
      </c>
      <c r="I42">
        <v>10</v>
      </c>
      <c r="J42">
        <v>0</v>
      </c>
      <c r="K42">
        <v>3</v>
      </c>
      <c r="L42">
        <v>32</v>
      </c>
      <c r="M42">
        <v>3</v>
      </c>
      <c r="N42">
        <v>3</v>
      </c>
      <c r="O42">
        <v>10</v>
      </c>
      <c r="P42">
        <v>24</v>
      </c>
      <c r="Q42">
        <v>6</v>
      </c>
      <c r="R42">
        <v>24</v>
      </c>
      <c r="S42">
        <v>3</v>
      </c>
      <c r="T42" t="s">
        <v>22</v>
      </c>
    </row>
    <row r="43" spans="1:20" x14ac:dyDescent="0.3">
      <c r="E43" t="s">
        <v>25</v>
      </c>
      <c r="F43">
        <v>8</v>
      </c>
      <c r="G43">
        <v>15</v>
      </c>
      <c r="H43" t="s">
        <v>22</v>
      </c>
      <c r="I43">
        <v>7.5</v>
      </c>
      <c r="J43">
        <v>7.5</v>
      </c>
      <c r="K43">
        <v>3</v>
      </c>
      <c r="L43">
        <v>31</v>
      </c>
      <c r="M43">
        <v>3</v>
      </c>
      <c r="N43">
        <v>6</v>
      </c>
      <c r="O43">
        <v>10</v>
      </c>
      <c r="P43">
        <v>24</v>
      </c>
      <c r="Q43">
        <v>6</v>
      </c>
      <c r="R43">
        <v>24</v>
      </c>
      <c r="S43">
        <v>3</v>
      </c>
      <c r="T43" t="s">
        <v>22</v>
      </c>
    </row>
    <row r="44" spans="1:20" x14ac:dyDescent="0.3">
      <c r="E44" t="s">
        <v>26</v>
      </c>
      <c r="F44">
        <v>8</v>
      </c>
      <c r="G44">
        <v>20</v>
      </c>
      <c r="H44" t="s">
        <v>22</v>
      </c>
      <c r="I44">
        <v>10</v>
      </c>
      <c r="J44">
        <v>10</v>
      </c>
      <c r="K44">
        <v>3</v>
      </c>
      <c r="L44">
        <v>31</v>
      </c>
      <c r="M44">
        <v>3</v>
      </c>
      <c r="N44">
        <v>6</v>
      </c>
      <c r="O44">
        <v>10</v>
      </c>
      <c r="P44">
        <v>24</v>
      </c>
      <c r="Q44">
        <v>6</v>
      </c>
      <c r="R44">
        <v>24</v>
      </c>
      <c r="S44">
        <v>3</v>
      </c>
      <c r="T44" t="s">
        <v>22</v>
      </c>
    </row>
    <row r="45" spans="1:20" x14ac:dyDescent="0.3">
      <c r="E45" t="s">
        <v>27</v>
      </c>
      <c r="F45">
        <v>8</v>
      </c>
      <c r="G45">
        <v>25</v>
      </c>
      <c r="H45" t="s">
        <v>22</v>
      </c>
      <c r="I45">
        <v>12.5</v>
      </c>
      <c r="J45">
        <v>12.5</v>
      </c>
      <c r="K45">
        <v>3</v>
      </c>
      <c r="L45">
        <v>31</v>
      </c>
      <c r="M45">
        <v>3</v>
      </c>
      <c r="N45">
        <v>6</v>
      </c>
      <c r="O45">
        <v>10</v>
      </c>
      <c r="P45">
        <v>24</v>
      </c>
      <c r="Q45">
        <v>6</v>
      </c>
      <c r="R45">
        <v>24</v>
      </c>
      <c r="S45">
        <v>3</v>
      </c>
      <c r="T45" t="s">
        <v>22</v>
      </c>
    </row>
    <row r="46" spans="1:20" x14ac:dyDescent="0.3">
      <c r="E46" t="s">
        <v>28</v>
      </c>
      <c r="F46">
        <v>8</v>
      </c>
      <c r="G46">
        <v>30</v>
      </c>
      <c r="H46" t="s">
        <v>22</v>
      </c>
      <c r="I46">
        <v>15</v>
      </c>
      <c r="J46">
        <v>15</v>
      </c>
      <c r="K46">
        <v>3</v>
      </c>
      <c r="L46">
        <v>31</v>
      </c>
      <c r="M46">
        <v>3</v>
      </c>
      <c r="N46">
        <v>6</v>
      </c>
      <c r="O46">
        <v>10</v>
      </c>
      <c r="P46">
        <v>24</v>
      </c>
      <c r="Q46">
        <v>6</v>
      </c>
      <c r="R46">
        <v>24</v>
      </c>
      <c r="S46">
        <v>3</v>
      </c>
      <c r="T46" t="s">
        <v>22</v>
      </c>
    </row>
    <row r="47" spans="1:20" x14ac:dyDescent="0.3">
      <c r="E47" t="s">
        <v>29</v>
      </c>
      <c r="F47">
        <v>8</v>
      </c>
      <c r="G47">
        <v>35</v>
      </c>
      <c r="H47" t="s">
        <v>22</v>
      </c>
      <c r="I47">
        <v>17.5</v>
      </c>
      <c r="J47">
        <v>17.5</v>
      </c>
      <c r="K47">
        <v>3</v>
      </c>
      <c r="L47">
        <v>31</v>
      </c>
      <c r="M47">
        <v>3</v>
      </c>
      <c r="N47">
        <v>6</v>
      </c>
      <c r="O47">
        <v>10</v>
      </c>
      <c r="P47">
        <v>24</v>
      </c>
      <c r="Q47">
        <v>6</v>
      </c>
      <c r="R47">
        <v>24</v>
      </c>
      <c r="S47">
        <v>3</v>
      </c>
      <c r="T47" t="s">
        <v>22</v>
      </c>
    </row>
    <row r="48" spans="1:20" x14ac:dyDescent="0.3">
      <c r="E48" t="s">
        <v>30</v>
      </c>
      <c r="F48">
        <v>8</v>
      </c>
      <c r="G48">
        <v>40</v>
      </c>
      <c r="H48" t="s">
        <v>22</v>
      </c>
      <c r="I48">
        <v>20</v>
      </c>
      <c r="J48">
        <v>20</v>
      </c>
      <c r="K48">
        <v>3</v>
      </c>
      <c r="L48">
        <v>31</v>
      </c>
      <c r="M48">
        <v>3</v>
      </c>
      <c r="N48">
        <v>6</v>
      </c>
      <c r="O48">
        <v>10</v>
      </c>
      <c r="P48">
        <v>24</v>
      </c>
      <c r="Q48">
        <v>6</v>
      </c>
      <c r="R48">
        <v>24</v>
      </c>
      <c r="S48">
        <v>3</v>
      </c>
      <c r="T48" t="s">
        <v>22</v>
      </c>
    </row>
    <row r="49" spans="5:20" x14ac:dyDescent="0.3">
      <c r="E49" t="s">
        <v>31</v>
      </c>
      <c r="F49">
        <v>8</v>
      </c>
      <c r="G49">
        <v>45</v>
      </c>
      <c r="H49" t="s">
        <v>22</v>
      </c>
      <c r="I49">
        <v>22.5</v>
      </c>
      <c r="J49">
        <v>22.5</v>
      </c>
      <c r="K49">
        <v>3</v>
      </c>
      <c r="L49">
        <v>31</v>
      </c>
      <c r="M49">
        <v>3</v>
      </c>
      <c r="N49">
        <v>6</v>
      </c>
      <c r="O49">
        <v>10</v>
      </c>
      <c r="P49">
        <v>24</v>
      </c>
      <c r="Q49">
        <v>6</v>
      </c>
      <c r="R49">
        <v>24</v>
      </c>
      <c r="S49">
        <v>3</v>
      </c>
      <c r="T49" t="s">
        <v>22</v>
      </c>
    </row>
    <row r="50" spans="5:20" x14ac:dyDescent="0.3">
      <c r="E50" t="s">
        <v>32</v>
      </c>
      <c r="F50">
        <v>0</v>
      </c>
      <c r="G50">
        <v>50</v>
      </c>
      <c r="H50" t="s">
        <v>22</v>
      </c>
      <c r="I50">
        <v>25</v>
      </c>
      <c r="J50">
        <v>25</v>
      </c>
      <c r="K50">
        <v>3</v>
      </c>
      <c r="L50">
        <v>1</v>
      </c>
      <c r="M50">
        <v>3</v>
      </c>
      <c r="N50">
        <v>6</v>
      </c>
      <c r="O50">
        <v>10</v>
      </c>
      <c r="P50">
        <v>24</v>
      </c>
      <c r="Q50">
        <v>6</v>
      </c>
      <c r="R50">
        <v>24</v>
      </c>
      <c r="S50">
        <v>3</v>
      </c>
      <c r="T50" t="s">
        <v>22</v>
      </c>
    </row>
  </sheetData>
  <autoFilter ref="A1:T50" xr:uid="{00000000-0001-0000-0000-000000000000}"/>
  <pageMargins left="0.7" right="0.7" top="0.75" bottom="0.75" header="0.3" footer="0.3"/>
  <ignoredErrors>
    <ignoredError sqref="A1:T1 A21:T21 A13:Q13 S13:T13 A20:Q20 S14:T20 A27:G30 I27:M30 A26:S26 A12:C12 A11:C11 S11:T11 A3:C3 A2:C2 O2:T2 O12:T12 O11:Q11 A4:C10 O4:T10 A14:M19 O14:Q19 A22:M25 O22:T25 O27:S30 E2:M2 E3:T3 E4:M10 E11:M11 E12:M1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/>
  </sheetViews>
  <sheetFormatPr defaultRowHeight="14.4" x14ac:dyDescent="0.3"/>
  <cols>
    <col min="1" max="1" width="16.796875" customWidth="1"/>
    <col min="2" max="2" width="24.796875" customWidth="1"/>
  </cols>
  <sheetData>
    <row r="1" spans="1:2" ht="15.6" customHeight="1" x14ac:dyDescent="0.3">
      <c r="A1" t="s">
        <v>50</v>
      </c>
      <c r="B1" t="s">
        <v>51</v>
      </c>
    </row>
    <row r="2" spans="1:2" ht="15.6" customHeight="1" x14ac:dyDescent="0.3">
      <c r="A2" t="s">
        <v>52</v>
      </c>
      <c r="B2" t="s">
        <v>53</v>
      </c>
    </row>
    <row r="3" spans="1:2" ht="15.6" customHeight="1" x14ac:dyDescent="0.3">
      <c r="A3" t="s">
        <v>54</v>
      </c>
      <c r="B3" t="s">
        <v>55</v>
      </c>
    </row>
  </sheetData>
  <pageMargins left="0.7" right="0.7" top="0.75" bottom="0.75" header="0.3" footer="0.3"/>
  <ignoredErrors>
    <ignoredError sqref="A1:B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3"/>
  <sheetViews>
    <sheetView workbookViewId="0"/>
  </sheetViews>
  <sheetFormatPr defaultRowHeight="14.4" x14ac:dyDescent="0.3"/>
  <cols>
    <col min="1" max="1" width="60.796875" customWidth="1"/>
    <col min="2" max="2" width="70.796875" customWidth="1"/>
  </cols>
  <sheetData>
    <row r="1" spans="1:2" ht="15.6" customHeight="1" x14ac:dyDescent="0.3">
      <c r="A1" t="s">
        <v>56</v>
      </c>
      <c r="B1" t="s">
        <v>57</v>
      </c>
    </row>
    <row r="2" spans="1:2" ht="15.6" customHeight="1" x14ac:dyDescent="0.3">
      <c r="A2" t="s">
        <v>57</v>
      </c>
      <c r="B2" t="s">
        <v>57</v>
      </c>
    </row>
    <row r="3" spans="1:2" ht="15.6" customHeight="1" x14ac:dyDescent="0.3">
      <c r="A3" t="s">
        <v>58</v>
      </c>
      <c r="B3" t="s">
        <v>59</v>
      </c>
    </row>
    <row r="4" spans="1:2" ht="15.6" customHeight="1" x14ac:dyDescent="0.3">
      <c r="A4" t="s">
        <v>60</v>
      </c>
      <c r="B4" t="s">
        <v>61</v>
      </c>
    </row>
    <row r="5" spans="1:2" ht="15.6" customHeight="1" x14ac:dyDescent="0.3">
      <c r="A5" t="s">
        <v>62</v>
      </c>
      <c r="B5" t="s">
        <v>63</v>
      </c>
    </row>
    <row r="6" spans="1:2" ht="15.6" customHeight="1" x14ac:dyDescent="0.3">
      <c r="A6" t="s">
        <v>57</v>
      </c>
      <c r="B6" t="s">
        <v>57</v>
      </c>
    </row>
    <row r="7" spans="1:2" ht="15.6" customHeight="1" x14ac:dyDescent="0.3">
      <c r="A7" t="s">
        <v>64</v>
      </c>
      <c r="B7" t="s">
        <v>65</v>
      </c>
    </row>
    <row r="8" spans="1:2" ht="15.6" customHeight="1" x14ac:dyDescent="0.3">
      <c r="A8" t="s">
        <v>0</v>
      </c>
      <c r="B8" t="s">
        <v>66</v>
      </c>
    </row>
    <row r="9" spans="1:2" ht="15.6" customHeight="1" x14ac:dyDescent="0.3">
      <c r="A9" t="s">
        <v>4</v>
      </c>
      <c r="B9" t="s">
        <v>67</v>
      </c>
    </row>
    <row r="10" spans="1:2" ht="15.6" customHeight="1" x14ac:dyDescent="0.3">
      <c r="A10" t="s">
        <v>5</v>
      </c>
      <c r="B10" t="s">
        <v>68</v>
      </c>
    </row>
    <row r="11" spans="1:2" ht="15.6" customHeight="1" x14ac:dyDescent="0.3">
      <c r="A11" t="s">
        <v>6</v>
      </c>
      <c r="B11" t="s">
        <v>69</v>
      </c>
    </row>
    <row r="12" spans="1:2" ht="15.6" customHeight="1" x14ac:dyDescent="0.3">
      <c r="A12" t="s">
        <v>8</v>
      </c>
      <c r="B12" t="s">
        <v>70</v>
      </c>
    </row>
    <row r="13" spans="1:2" ht="15.6" customHeight="1" x14ac:dyDescent="0.3">
      <c r="A13" t="s">
        <v>9</v>
      </c>
      <c r="B13" t="s">
        <v>71</v>
      </c>
    </row>
    <row r="14" spans="1:2" ht="15.6" customHeight="1" x14ac:dyDescent="0.3">
      <c r="A14" t="s">
        <v>10</v>
      </c>
      <c r="B14" t="s">
        <v>72</v>
      </c>
    </row>
    <row r="15" spans="1:2" ht="15.6" customHeight="1" x14ac:dyDescent="0.3">
      <c r="A15" t="s">
        <v>11</v>
      </c>
      <c r="B15" t="s">
        <v>73</v>
      </c>
    </row>
    <row r="16" spans="1:2" ht="15.6" customHeight="1" x14ac:dyDescent="0.3">
      <c r="A16" t="s">
        <v>12</v>
      </c>
      <c r="B16" t="s">
        <v>74</v>
      </c>
    </row>
    <row r="17" spans="1:2" ht="15.6" customHeight="1" x14ac:dyDescent="0.3">
      <c r="A17" t="s">
        <v>13</v>
      </c>
      <c r="B17" t="s">
        <v>75</v>
      </c>
    </row>
    <row r="18" spans="1:2" ht="15.6" customHeight="1" x14ac:dyDescent="0.3">
      <c r="A18" t="s">
        <v>76</v>
      </c>
      <c r="B18" t="s">
        <v>77</v>
      </c>
    </row>
    <row r="19" spans="1:2" ht="15.6" customHeight="1" x14ac:dyDescent="0.3">
      <c r="A19" t="s">
        <v>78</v>
      </c>
      <c r="B19" t="s">
        <v>79</v>
      </c>
    </row>
    <row r="20" spans="1:2" ht="15.6" customHeight="1" x14ac:dyDescent="0.3">
      <c r="A20" t="s">
        <v>14</v>
      </c>
      <c r="B20" t="s">
        <v>80</v>
      </c>
    </row>
    <row r="21" spans="1:2" ht="15.6" customHeight="1" x14ac:dyDescent="0.3">
      <c r="A21" t="s">
        <v>15</v>
      </c>
      <c r="B21" t="s">
        <v>81</v>
      </c>
    </row>
    <row r="22" spans="1:2" ht="15.6" customHeight="1" x14ac:dyDescent="0.3">
      <c r="A22" t="s">
        <v>57</v>
      </c>
      <c r="B22" t="s">
        <v>57</v>
      </c>
    </row>
    <row r="23" spans="1:2" ht="15.6" customHeight="1" x14ac:dyDescent="0.3">
      <c r="A23" t="s">
        <v>82</v>
      </c>
      <c r="B23" t="s">
        <v>83</v>
      </c>
    </row>
  </sheetData>
  <pageMargins left="0.7" right="0.7" top="0.75" bottom="0.75" header="0.3" footer="0.3"/>
  <ignoredErrors>
    <ignoredError sqref="A1:B2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Projects</vt:lpstr>
      <vt:lpstr>Settings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Islam Essam</cp:lastModifiedBy>
  <dcterms:modified xsi:type="dcterms:W3CDTF">2026-06-13T13:23:03Z</dcterms:modified>
</cp:coreProperties>
</file>