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<sst xmlns="http://schemas.openxmlformats.org/spreadsheetml/2006/main" count="644" uniqueCount="121">
  <si>
    <t>Setting</t>
  </si>
  <si>
    <t>How to fill the Projects sheet</t>
  </si>
  <si>
    <t>Project</t>
  </si>
  <si>
    <t>Value</t>
  </si>
  <si>
    <t>Type</t>
  </si>
  <si>
    <t>Company Name</t>
  </si>
  <si>
    <t>BUA</t>
  </si>
  <si>
    <t>Alahly Sabbour</t>
  </si>
  <si>
    <t>Phase</t>
  </si>
  <si>
    <t/>
  </si>
  <si>
    <t>Currency</t>
  </si>
  <si>
    <t>Plan</t>
  </si>
  <si>
    <t>EGP</t>
  </si>
  <si>
    <t>Years</t>
  </si>
  <si>
    <t>Discount %</t>
  </si>
  <si>
    <t>Down Payment Type</t>
  </si>
  <si>
    <t>Down Payment 1 %</t>
  </si>
  <si>
    <t>Each row is ONE payment plan. Rows with a blank Project cell belong to the project above them.</t>
  </si>
  <si>
    <t>Down Payment 2 %</t>
  </si>
  <si>
    <t>DP2 Due (months)</t>
  </si>
  <si>
    <t>Installments Count</t>
  </si>
  <si>
    <t>كل صف = نظام سداد واحد. لو خلية المشروع فاضية، الصف بيتبع المشروع اللي فوقه.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</si>
  <si>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</si>
  <si>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</si>
  <si>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</si>
  <si>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</si>
  <si>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</si>
  <si>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</si>
  <si>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All % columns are plain numbers in percent units: 10 means 10%, 0.99 means 0.99%.</t>
  </si>
  <si>
    <t>Maintenance Basis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</si>
  <si>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</si>
  <si>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</si>
  <si>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</si>
  <si>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Status</t>
  </si>
  <si>
    <t>Column</t>
  </si>
  <si>
    <t>Meaning / المعنى</t>
  </si>
  <si>
    <t>YOUD</t>
  </si>
  <si>
    <t>Project name. Leave blank to repeat the project above. / اسم المشروع — سيبها فاضية لتكرار اللي فوق</t>
  </si>
  <si>
    <t>5% DP &amp; 5% After 3 Months &amp; 8 Years</t>
  </si>
  <si>
    <t>Plan label shown in the dropdown, e.g. "8 Years" or "Cash" / اسم نظام السداد</t>
  </si>
  <si>
    <t>Original Price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</si>
  <si>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</si>
  <si>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</si>
  <si>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</si>
  <si>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</si>
  <si>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</si>
  <si>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</si>
  <si>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</si>
  <si>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</si>
  <si>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</si>
  <si>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</si>
  <si>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</si>
  <si>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</si>
  <si>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</si>
  <si>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</si>
  <si>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</si>
  <si>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</si>
  <si>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</si>
  <si>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</si>
  <si>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</si>
  <si>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</si>
  <si>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</si>
  <si>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</si>
  <si>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</si>
  <si>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</si>
  <si>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</si>
  <si>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</si>
  <si>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</si>
  <si>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</si>
  <si>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</si>
  <si>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</si>
  <si>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</si>
  <si>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</si>
  <si>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</si>
  <si>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</si>
  <si>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</si>
  <si>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</si>
  <si>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</si>
  <si>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</si>
  <si>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</si>
  <si>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</si>
  <si>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</si>
  <si>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</si>
  <si>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</si>
  <si>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</si>
  <si>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</si>
  <si>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</si>
  <si>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</si>
  <si>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</si>
  <si>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</si>
  <si>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</si>
  <si>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</si>
  <si>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</si>
  <si>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</si>
  <si>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</si>
  <si>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</si>
  <si>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</si>
  <si>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</si>
  <si>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</si>
  <si>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</si>
  <si>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Chalet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</si>
  <si>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</si>
  <si>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</si>
  <si>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</si>
  <si>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</si>
  <si>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</si>
  <si>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</si>
  <si>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</si>
  <si>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</si>
  <si>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</si>
  <si>
    <t>VIllas</t>
  </si>
  <si>
    <t>5% DP &amp; 5% After 3 Months &amp; 9 Years</t>
  </si>
  <si>
    <t>5% DP &amp; 5% After 3 Months &amp; 7 Years</t>
  </si>
  <si>
    <t>5% DP &amp; 5% After 3 Months &amp; 6 Years</t>
  </si>
  <si>
    <t>5% DP &amp; 5% After 3 Months &amp; 5 Years</t>
  </si>
  <si>
    <t>10% &amp; 5% &amp; 8 years</t>
  </si>
  <si>
    <t>10% &amp; 10% &amp; 9 years</t>
  </si>
  <si>
    <t>15% &amp; 10% &amp; 10 years</t>
  </si>
  <si>
    <t>The Mornings (Residental)</t>
  </si>
  <si>
    <t>10% &amp; 5% &amp; 9 years</t>
  </si>
  <si>
    <t>10% &amp; 10%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</si>
</sst>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2</v>
      </c>
      <c r="B1" s="1" t="s">
        <v>4</v>
      </c>
      <c r="C1" s="1" t="s">
        <v>6</v>
      </c>
      <c r="D1" s="1" t="s">
        <v>8</v>
      </c>
      <c r="E1" s="1" t="s">
        <v>11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18</v>
      </c>
      <c r="K1" s="1" t="s">
        <v>19</v>
      </c>
      <c r="L1" s="1" t="s">
        <v>20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22</v>
      </c>
      <c r="T1" s="1" t="s">
        <v>29</v>
      </c>
      <c r="U1" s="3" t="s">
        <v>33</v>
      </c>
    </row>
    <row r="2">
      <c r="A2" s="1" t="s">
        <v>36</v>
      </c>
      <c r="B2" s="3" t="s">
        <v>36</v>
      </c>
      <c r="E2" s="1" t="s">
        <v>38</v>
      </c>
      <c r="F2" s="1">
        <v>8.0</v>
      </c>
      <c r="G2" s="1">
        <v>0.0</v>
      </c>
      <c r="H2" s="1" t="s">
        <v>40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3" t="s">
        <v>58</v>
      </c>
    </row>
    <row r="3">
      <c r="B3" s="3" t="s">
        <v>36</v>
      </c>
      <c r="E3" s="1" t="s">
        <v>59</v>
      </c>
      <c r="F3" s="1">
        <v>8.0</v>
      </c>
      <c r="G3" s="1">
        <v>10.0</v>
      </c>
      <c r="H3" s="1" t="s">
        <v>40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3" t="s">
        <v>58</v>
      </c>
    </row>
    <row r="4">
      <c r="B4" s="3" t="s">
        <v>36</v>
      </c>
      <c r="E4" s="1" t="s">
        <v>60</v>
      </c>
      <c r="F4" s="1">
        <v>8.0</v>
      </c>
      <c r="G4" s="1">
        <v>15.0</v>
      </c>
      <c r="H4" s="1" t="s">
        <v>40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3" t="s">
        <v>58</v>
      </c>
    </row>
    <row r="5">
      <c r="B5" s="3" t="s">
        <v>36</v>
      </c>
      <c r="E5" s="1" t="s">
        <v>61</v>
      </c>
      <c r="F5" s="1">
        <v>8.0</v>
      </c>
      <c r="G5" s="1">
        <v>20.0</v>
      </c>
      <c r="H5" s="1" t="s">
        <v>40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57</v>
      </c>
      <c r="U5" s="3" t="s">
        <v>58</v>
      </c>
    </row>
    <row r="6">
      <c r="B6" s="3" t="s">
        <v>36</v>
      </c>
      <c r="E6" s="1" t="s">
        <v>62</v>
      </c>
      <c r="F6" s="1">
        <v>8.0</v>
      </c>
      <c r="G6" s="1">
        <v>25.0</v>
      </c>
      <c r="H6" s="1" t="s">
        <v>40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57</v>
      </c>
      <c r="U6" s="3" t="s">
        <v>58</v>
      </c>
    </row>
    <row r="7">
      <c r="B7" s="3" t="s">
        <v>36</v>
      </c>
      <c r="E7" s="1" t="s">
        <v>63</v>
      </c>
      <c r="F7" s="1">
        <v>8.0</v>
      </c>
      <c r="G7" s="1">
        <v>30.0</v>
      </c>
      <c r="H7" s="1" t="s">
        <v>40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57</v>
      </c>
      <c r="U7" s="3" t="s">
        <v>58</v>
      </c>
    </row>
    <row r="8">
      <c r="B8" s="3" t="s">
        <v>36</v>
      </c>
      <c r="E8" s="1" t="s">
        <v>64</v>
      </c>
      <c r="F8" s="1">
        <v>8.0</v>
      </c>
      <c r="G8" s="1">
        <v>35.0</v>
      </c>
      <c r="H8" s="1" t="s">
        <v>40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57</v>
      </c>
      <c r="U8" s="3" t="s">
        <v>58</v>
      </c>
    </row>
    <row r="9">
      <c r="B9" s="3" t="s">
        <v>36</v>
      </c>
      <c r="E9" s="1" t="s">
        <v>65</v>
      </c>
      <c r="F9" s="1">
        <v>8.0</v>
      </c>
      <c r="G9" s="1">
        <v>40.0</v>
      </c>
      <c r="H9" s="1" t="s">
        <v>40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57</v>
      </c>
      <c r="U9" s="3" t="s">
        <v>58</v>
      </c>
    </row>
    <row r="10">
      <c r="B10" s="3" t="s">
        <v>36</v>
      </c>
      <c r="E10" s="1" t="s">
        <v>66</v>
      </c>
      <c r="F10" s="1">
        <v>8.0</v>
      </c>
      <c r="G10" s="1">
        <v>45.0</v>
      </c>
      <c r="H10" s="1" t="s">
        <v>40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57</v>
      </c>
      <c r="U10" s="3" t="s">
        <v>58</v>
      </c>
    </row>
    <row r="11">
      <c r="B11" s="3" t="s">
        <v>36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40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  <c r="U11" s="3" t="s">
        <v>58</v>
      </c>
    </row>
    <row r="12">
      <c r="B12" s="3" t="s">
        <v>36</v>
      </c>
      <c r="D12" s="3">
        <v>4.0</v>
      </c>
      <c r="E12" s="1" t="s">
        <v>68</v>
      </c>
      <c r="F12" s="1">
        <v>0.0</v>
      </c>
      <c r="G12" s="1">
        <v>50.0</v>
      </c>
      <c r="H12" s="1" t="s">
        <v>40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3" t="s">
        <v>58</v>
      </c>
    </row>
    <row r="13">
      <c r="B13" s="3" t="s">
        <v>69</v>
      </c>
      <c r="E13" s="1" t="s">
        <v>38</v>
      </c>
      <c r="F13" s="1">
        <v>8.0</v>
      </c>
      <c r="G13" s="1">
        <v>0.0</v>
      </c>
      <c r="H13" s="1" t="s">
        <v>40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3" t="s">
        <v>70</v>
      </c>
    </row>
    <row r="14">
      <c r="B14" s="3" t="s">
        <v>69</v>
      </c>
      <c r="E14" s="1" t="s">
        <v>59</v>
      </c>
      <c r="F14" s="1">
        <v>8.0</v>
      </c>
      <c r="G14" s="1">
        <v>10.0</v>
      </c>
      <c r="H14" s="1" t="s">
        <v>40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3" t="s">
        <v>70</v>
      </c>
    </row>
    <row r="15">
      <c r="B15" s="3" t="s">
        <v>69</v>
      </c>
      <c r="E15" s="1" t="s">
        <v>60</v>
      </c>
      <c r="F15" s="1">
        <v>8.0</v>
      </c>
      <c r="G15" s="1">
        <v>15.0</v>
      </c>
      <c r="H15" s="1" t="s">
        <v>40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3" t="s">
        <v>70</v>
      </c>
    </row>
    <row r="16">
      <c r="B16" s="3" t="s">
        <v>69</v>
      </c>
      <c r="E16" s="1" t="s">
        <v>61</v>
      </c>
      <c r="F16" s="1">
        <v>8.0</v>
      </c>
      <c r="G16" s="1">
        <v>20.0</v>
      </c>
      <c r="H16" s="1" t="s">
        <v>40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3" t="s">
        <v>70</v>
      </c>
    </row>
    <row r="17">
      <c r="B17" s="3" t="s">
        <v>69</v>
      </c>
      <c r="E17" s="1" t="s">
        <v>62</v>
      </c>
      <c r="F17" s="1">
        <v>8.0</v>
      </c>
      <c r="G17" s="1">
        <v>25.0</v>
      </c>
      <c r="H17" s="1" t="s">
        <v>40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3" t="s">
        <v>70</v>
      </c>
    </row>
    <row r="18">
      <c r="B18" s="3" t="s">
        <v>69</v>
      </c>
      <c r="E18" s="1" t="s">
        <v>63</v>
      </c>
      <c r="F18" s="1">
        <v>8.0</v>
      </c>
      <c r="G18" s="1">
        <v>30.0</v>
      </c>
      <c r="H18" s="1" t="s">
        <v>40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3" t="s">
        <v>70</v>
      </c>
    </row>
    <row r="19">
      <c r="B19" s="3" t="s">
        <v>69</v>
      </c>
      <c r="E19" s="1" t="s">
        <v>64</v>
      </c>
      <c r="F19" s="1">
        <v>8.0</v>
      </c>
      <c r="G19" s="1">
        <v>35.0</v>
      </c>
      <c r="H19" s="1" t="s">
        <v>40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3" t="s">
        <v>70</v>
      </c>
    </row>
    <row r="20">
      <c r="B20" s="3" t="s">
        <v>69</v>
      </c>
      <c r="E20" s="1" t="s">
        <v>65</v>
      </c>
      <c r="F20" s="1">
        <v>8.0</v>
      </c>
      <c r="G20" s="1">
        <v>40.0</v>
      </c>
      <c r="H20" s="1" t="s">
        <v>40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3" t="s">
        <v>70</v>
      </c>
    </row>
    <row r="21">
      <c r="B21" s="3" t="s">
        <v>69</v>
      </c>
      <c r="E21" s="1" t="s">
        <v>66</v>
      </c>
      <c r="F21" s="1">
        <v>8.0</v>
      </c>
      <c r="G21" s="1">
        <v>45.0</v>
      </c>
      <c r="H21" s="1" t="s">
        <v>40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3" t="s">
        <v>70</v>
      </c>
    </row>
    <row r="22">
      <c r="B22" s="3" t="s">
        <v>69</v>
      </c>
      <c r="E22" s="1" t="s">
        <v>68</v>
      </c>
      <c r="F22" s="1">
        <v>0.0</v>
      </c>
      <c r="G22" s="1">
        <v>50.0</v>
      </c>
      <c r="H22" s="1" t="s">
        <v>40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3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40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3" t="s">
        <v>70</v>
      </c>
    </row>
    <row r="24">
      <c r="B24" s="1" t="s">
        <v>71</v>
      </c>
      <c r="E24" s="3" t="s">
        <v>73</v>
      </c>
      <c r="F24" s="1">
        <v>3.0</v>
      </c>
      <c r="G24" s="1">
        <v>0.0</v>
      </c>
      <c r="H24" s="1" t="s">
        <v>40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3" t="s">
        <v>70</v>
      </c>
    </row>
    <row r="25">
      <c r="B25" s="1" t="s">
        <v>71</v>
      </c>
      <c r="E25" s="3" t="s">
        <v>74</v>
      </c>
      <c r="F25" s="1">
        <v>4.0</v>
      </c>
      <c r="G25" s="1">
        <v>0.0</v>
      </c>
      <c r="H25" s="1" t="s">
        <v>40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3" t="s">
        <v>70</v>
      </c>
    </row>
    <row r="26">
      <c r="B26" s="1" t="s">
        <v>71</v>
      </c>
      <c r="E26" s="3" t="s">
        <v>75</v>
      </c>
      <c r="F26" s="1">
        <v>5.0</v>
      </c>
      <c r="G26" s="1">
        <v>0.0</v>
      </c>
      <c r="H26" s="1" t="s">
        <v>40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3" t="s">
        <v>70</v>
      </c>
    </row>
    <row r="27">
      <c r="B27" s="1" t="s">
        <v>71</v>
      </c>
      <c r="E27" s="3" t="s">
        <v>76</v>
      </c>
      <c r="F27" s="1">
        <v>6.0</v>
      </c>
      <c r="G27" s="1">
        <v>0.0</v>
      </c>
      <c r="H27" s="1" t="s">
        <v>40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3" t="s">
        <v>70</v>
      </c>
    </row>
    <row r="28">
      <c r="B28" s="1" t="s">
        <v>71</v>
      </c>
      <c r="E28" s="3" t="s">
        <v>77</v>
      </c>
      <c r="F28" s="1">
        <v>7.0</v>
      </c>
      <c r="G28" s="1">
        <v>0.0</v>
      </c>
      <c r="H28" s="1" t="s">
        <v>40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3" t="s">
        <v>70</v>
      </c>
    </row>
    <row r="29">
      <c r="B29" s="1" t="s">
        <v>71</v>
      </c>
      <c r="E29" s="3" t="s">
        <v>78</v>
      </c>
      <c r="F29" s="1">
        <v>8.0</v>
      </c>
      <c r="G29" s="1">
        <v>0.0</v>
      </c>
      <c r="H29" s="1" t="s">
        <v>40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3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3" t="s">
        <v>70</v>
      </c>
    </row>
    <row r="31">
      <c r="B31" s="3" t="s">
        <v>80</v>
      </c>
      <c r="E31" s="3" t="s">
        <v>81</v>
      </c>
      <c r="F31" s="3">
        <v>4.0</v>
      </c>
      <c r="G31" s="3">
        <v>0.0</v>
      </c>
      <c r="H31" s="1" t="s">
        <v>40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57</v>
      </c>
      <c r="U31" s="3" t="s">
        <v>70</v>
      </c>
    </row>
    <row r="32">
      <c r="B32" s="3" t="s">
        <v>80</v>
      </c>
      <c r="E32" s="3" t="s">
        <v>82</v>
      </c>
      <c r="F32" s="3">
        <v>5.0</v>
      </c>
      <c r="G32" s="3">
        <v>0.0</v>
      </c>
      <c r="H32" s="1" t="s">
        <v>40</v>
      </c>
      <c r="I32" s="3">
        <v>15.0</v>
      </c>
      <c r="J32" s="3">
        <v>0.0</v>
      </c>
      <c r="K32" s="3">
        <v>0.0</v>
      </c>
      <c r="L32" s="3">
        <v>20.0</v>
      </c>
      <c r="M32" s="3">
        <v>3.0</v>
      </c>
      <c r="N32" s="3">
        <v>3.0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57</v>
      </c>
      <c r="U32" s="3" t="s">
        <v>70</v>
      </c>
    </row>
    <row r="33">
      <c r="B33" s="3" t="s">
        <v>80</v>
      </c>
      <c r="E33" s="3" t="s">
        <v>83</v>
      </c>
      <c r="F33" s="3">
        <v>6.0</v>
      </c>
      <c r="G33" s="3">
        <v>0.0</v>
      </c>
      <c r="H33" s="1" t="s">
        <v>40</v>
      </c>
      <c r="I33" s="3">
        <v>20.0</v>
      </c>
      <c r="J33" s="3">
        <v>0.0</v>
      </c>
      <c r="K33" s="3">
        <v>0.0</v>
      </c>
      <c r="L33" s="3">
        <v>24.0</v>
      </c>
      <c r="M33" s="3">
        <v>3.0</v>
      </c>
      <c r="N33" s="3">
        <v>3.0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57</v>
      </c>
      <c r="U33" s="3" t="s">
        <v>70</v>
      </c>
    </row>
    <row r="34">
      <c r="B34" s="3" t="s">
        <v>80</v>
      </c>
      <c r="E34" s="3" t="s">
        <v>84</v>
      </c>
      <c r="F34" s="3">
        <v>7.0</v>
      </c>
      <c r="G34" s="3">
        <v>0.0</v>
      </c>
      <c r="H34" s="1" t="s">
        <v>40</v>
      </c>
      <c r="I34" s="3">
        <v>25.0</v>
      </c>
      <c r="J34" s="3">
        <v>0.0</v>
      </c>
      <c r="K34" s="3">
        <v>0.0</v>
      </c>
      <c r="L34" s="3">
        <v>28.0</v>
      </c>
      <c r="M34" s="3">
        <v>3.0</v>
      </c>
      <c r="N34" s="3">
        <v>3.0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57</v>
      </c>
      <c r="U34" s="3" t="s">
        <v>70</v>
      </c>
    </row>
    <row r="35">
      <c r="B35" s="3" t="s">
        <v>80</v>
      </c>
      <c r="E35" s="3" t="s">
        <v>85</v>
      </c>
      <c r="F35" s="3">
        <v>8.0</v>
      </c>
      <c r="G35" s="3">
        <v>0.0</v>
      </c>
      <c r="H35" s="1" t="s">
        <v>40</v>
      </c>
      <c r="I35" s="3">
        <v>30.0</v>
      </c>
      <c r="J35" s="3">
        <v>0.0</v>
      </c>
      <c r="K35" s="3">
        <v>0.0</v>
      </c>
      <c r="L35" s="3">
        <v>32.0</v>
      </c>
      <c r="M35" s="3">
        <v>3.0</v>
      </c>
      <c r="N35" s="3">
        <v>3.0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57</v>
      </c>
      <c r="U35" s="3" t="s">
        <v>70</v>
      </c>
    </row>
    <row r="36">
      <c r="B36" s="3" t="s">
        <v>80</v>
      </c>
      <c r="E36" s="3" t="s">
        <v>86</v>
      </c>
      <c r="F36" s="3">
        <v>9.0</v>
      </c>
      <c r="G36" s="3">
        <v>0.0</v>
      </c>
      <c r="H36" s="1" t="s">
        <v>40</v>
      </c>
      <c r="I36" s="3">
        <v>35.0</v>
      </c>
      <c r="J36" s="3">
        <v>0.0</v>
      </c>
      <c r="K36" s="3">
        <v>0.0</v>
      </c>
      <c r="L36" s="3">
        <v>36.0</v>
      </c>
      <c r="M36" s="3">
        <v>3.0</v>
      </c>
      <c r="N36" s="3">
        <v>3.0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57</v>
      </c>
      <c r="U36" s="3" t="s">
        <v>70</v>
      </c>
    </row>
    <row r="37">
      <c r="B37" s="3" t="s">
        <v>80</v>
      </c>
      <c r="E37" s="3" t="s">
        <v>87</v>
      </c>
      <c r="F37" s="3">
        <v>10.0</v>
      </c>
      <c r="G37" s="3">
        <v>0.0</v>
      </c>
      <c r="H37" s="1" t="s">
        <v>40</v>
      </c>
      <c r="I37" s="3">
        <v>40.0</v>
      </c>
      <c r="J37" s="3">
        <v>0.0</v>
      </c>
      <c r="K37" s="3">
        <v>0.0</v>
      </c>
      <c r="L37" s="3">
        <v>40.0</v>
      </c>
      <c r="M37" s="3">
        <v>3.0</v>
      </c>
      <c r="N37" s="3">
        <v>3.0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57</v>
      </c>
      <c r="U37" s="3" t="s">
        <v>70</v>
      </c>
    </row>
    <row r="38">
      <c r="B38" s="3" t="s">
        <v>80</v>
      </c>
      <c r="E38" s="1" t="s">
        <v>79</v>
      </c>
      <c r="F38" s="3">
        <v>0.0</v>
      </c>
      <c r="G38" s="3">
        <v>15.0</v>
      </c>
      <c r="H38" s="1" t="s">
        <v>57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57</v>
      </c>
      <c r="U38" s="3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40</v>
      </c>
      <c r="U39" s="3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40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40</v>
      </c>
      <c r="U40" s="3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40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40</v>
      </c>
      <c r="U41" s="3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40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40</v>
      </c>
      <c r="U42" s="3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40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40</v>
      </c>
      <c r="U43" s="3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3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3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3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3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3" t="s">
        <v>58</v>
      </c>
    </row>
    <row r="49">
      <c r="A49" s="1" t="s">
        <v>96</v>
      </c>
      <c r="E49" s="1" t="s">
        <v>38</v>
      </c>
      <c r="F49" s="1">
        <v>8.0</v>
      </c>
      <c r="G49" s="1">
        <v>0.0</v>
      </c>
      <c r="H49" s="1" t="s">
        <v>40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40</v>
      </c>
      <c r="U49" s="3" t="s">
        <v>70</v>
      </c>
    </row>
    <row r="50">
      <c r="E50" s="1" t="s">
        <v>59</v>
      </c>
      <c r="F50" s="1">
        <v>8.0</v>
      </c>
      <c r="G50" s="1">
        <v>10.0</v>
      </c>
      <c r="H50" s="1" t="s">
        <v>40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40</v>
      </c>
      <c r="U50" s="3" t="s">
        <v>70</v>
      </c>
    </row>
    <row r="51">
      <c r="E51" s="1" t="s">
        <v>60</v>
      </c>
      <c r="F51" s="1">
        <v>8.0</v>
      </c>
      <c r="G51" s="1">
        <v>15.0</v>
      </c>
      <c r="H51" s="1" t="s">
        <v>40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40</v>
      </c>
      <c r="U51" s="3" t="s">
        <v>70</v>
      </c>
    </row>
    <row r="52">
      <c r="E52" s="1" t="s">
        <v>61</v>
      </c>
      <c r="F52" s="1">
        <v>8.0</v>
      </c>
      <c r="G52" s="1">
        <v>20.0</v>
      </c>
      <c r="H52" s="1" t="s">
        <v>40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40</v>
      </c>
      <c r="U52" s="3" t="s">
        <v>70</v>
      </c>
    </row>
    <row r="53">
      <c r="E53" s="1" t="s">
        <v>62</v>
      </c>
      <c r="F53" s="1">
        <v>8.0</v>
      </c>
      <c r="G53" s="1">
        <v>25.0</v>
      </c>
      <c r="H53" s="1" t="s">
        <v>40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40</v>
      </c>
      <c r="U53" s="3" t="s">
        <v>70</v>
      </c>
    </row>
    <row r="54">
      <c r="E54" s="1" t="s">
        <v>63</v>
      </c>
      <c r="F54" s="1">
        <v>8.0</v>
      </c>
      <c r="G54" s="1">
        <v>30.0</v>
      </c>
      <c r="H54" s="1" t="s">
        <v>40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40</v>
      </c>
      <c r="U54" s="3" t="s">
        <v>70</v>
      </c>
    </row>
    <row r="55">
      <c r="E55" s="1" t="s">
        <v>64</v>
      </c>
      <c r="F55" s="1">
        <v>8.0</v>
      </c>
      <c r="G55" s="1">
        <v>35.0</v>
      </c>
      <c r="H55" s="1" t="s">
        <v>40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40</v>
      </c>
      <c r="U55" s="3" t="s">
        <v>70</v>
      </c>
    </row>
    <row r="56">
      <c r="E56" s="1" t="s">
        <v>65</v>
      </c>
      <c r="F56" s="1">
        <v>8.0</v>
      </c>
      <c r="G56" s="1">
        <v>40.0</v>
      </c>
      <c r="H56" s="1" t="s">
        <v>40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40</v>
      </c>
      <c r="U56" s="3" t="s">
        <v>70</v>
      </c>
    </row>
    <row r="57">
      <c r="E57" s="1" t="s">
        <v>66</v>
      </c>
      <c r="F57" s="1">
        <v>8.0</v>
      </c>
      <c r="G57" s="1">
        <v>45.0</v>
      </c>
      <c r="H57" s="1" t="s">
        <v>40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40</v>
      </c>
      <c r="U57" s="3" t="s">
        <v>70</v>
      </c>
    </row>
    <row r="58">
      <c r="E58" s="1" t="s">
        <v>68</v>
      </c>
      <c r="F58" s="1">
        <v>0.0</v>
      </c>
      <c r="G58" s="1">
        <v>50.0</v>
      </c>
      <c r="H58" s="1" t="s">
        <v>40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40</v>
      </c>
      <c r="U58" s="3" t="s">
        <v>70</v>
      </c>
    </row>
    <row r="59">
      <c r="A59" s="1" t="s">
        <v>97</v>
      </c>
      <c r="E59" s="1" t="s">
        <v>38</v>
      </c>
      <c r="F59" s="1">
        <v>8.0</v>
      </c>
      <c r="G59" s="1">
        <v>0.0</v>
      </c>
      <c r="H59" s="1" t="s">
        <v>40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40</v>
      </c>
      <c r="U59" s="3" t="s">
        <v>70</v>
      </c>
    </row>
    <row r="60">
      <c r="E60" s="1" t="s">
        <v>59</v>
      </c>
      <c r="F60" s="1">
        <v>8.0</v>
      </c>
      <c r="G60" s="1">
        <v>10.0</v>
      </c>
      <c r="H60" s="1" t="s">
        <v>40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40</v>
      </c>
      <c r="U60" s="3" t="s">
        <v>70</v>
      </c>
    </row>
    <row r="61">
      <c r="E61" s="1" t="s">
        <v>60</v>
      </c>
      <c r="F61" s="1">
        <v>8.0</v>
      </c>
      <c r="G61" s="1">
        <v>15.0</v>
      </c>
      <c r="H61" s="1" t="s">
        <v>40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40</v>
      </c>
      <c r="U61" s="3" t="s">
        <v>70</v>
      </c>
    </row>
    <row r="62">
      <c r="E62" s="1" t="s">
        <v>61</v>
      </c>
      <c r="F62" s="1">
        <v>8.0</v>
      </c>
      <c r="G62" s="1">
        <v>20.0</v>
      </c>
      <c r="H62" s="1" t="s">
        <v>40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40</v>
      </c>
      <c r="U62" s="3" t="s">
        <v>70</v>
      </c>
    </row>
    <row r="63">
      <c r="E63" s="1" t="s">
        <v>62</v>
      </c>
      <c r="F63" s="1">
        <v>8.0</v>
      </c>
      <c r="G63" s="1">
        <v>25.0</v>
      </c>
      <c r="H63" s="1" t="s">
        <v>40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40</v>
      </c>
      <c r="U63" s="3" t="s">
        <v>70</v>
      </c>
    </row>
    <row r="64">
      <c r="E64" s="1" t="s">
        <v>63</v>
      </c>
      <c r="F64" s="1">
        <v>8.0</v>
      </c>
      <c r="G64" s="1">
        <v>30.0</v>
      </c>
      <c r="H64" s="1" t="s">
        <v>40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40</v>
      </c>
      <c r="U64" s="3" t="s">
        <v>70</v>
      </c>
    </row>
    <row r="65">
      <c r="E65" s="1" t="s">
        <v>64</v>
      </c>
      <c r="F65" s="1">
        <v>8.0</v>
      </c>
      <c r="G65" s="1">
        <v>35.0</v>
      </c>
      <c r="H65" s="1" t="s">
        <v>40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40</v>
      </c>
      <c r="U65" s="3" t="s">
        <v>70</v>
      </c>
    </row>
    <row r="66">
      <c r="E66" s="1" t="s">
        <v>65</v>
      </c>
      <c r="F66" s="1">
        <v>8.0</v>
      </c>
      <c r="G66" s="1">
        <v>40.0</v>
      </c>
      <c r="H66" s="1" t="s">
        <v>40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40</v>
      </c>
      <c r="U66" s="3" t="s">
        <v>70</v>
      </c>
    </row>
    <row r="67">
      <c r="E67" s="1" t="s">
        <v>66</v>
      </c>
      <c r="F67" s="1">
        <v>8.0</v>
      </c>
      <c r="G67" s="1">
        <v>45.0</v>
      </c>
      <c r="H67" s="1" t="s">
        <v>40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40</v>
      </c>
      <c r="U67" s="3" t="s">
        <v>70</v>
      </c>
    </row>
    <row r="68">
      <c r="E68" s="1" t="s">
        <v>68</v>
      </c>
      <c r="F68" s="1">
        <v>0.0</v>
      </c>
      <c r="G68" s="1">
        <v>50.0</v>
      </c>
      <c r="H68" s="1" t="s">
        <v>40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40</v>
      </c>
      <c r="U68" s="3" t="s">
        <v>70</v>
      </c>
    </row>
    <row r="69">
      <c r="A69" s="3" t="s">
        <v>98</v>
      </c>
      <c r="E69" s="1" t="s">
        <v>38</v>
      </c>
      <c r="F69" s="1">
        <v>8.0</v>
      </c>
      <c r="G69" s="1">
        <v>0.0</v>
      </c>
      <c r="H69" s="1" t="s">
        <v>40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40</v>
      </c>
      <c r="U69" s="3" t="s">
        <v>70</v>
      </c>
    </row>
    <row r="70">
      <c r="E70" s="1" t="s">
        <v>59</v>
      </c>
      <c r="F70" s="1">
        <v>8.0</v>
      </c>
      <c r="G70" s="1">
        <v>10.0</v>
      </c>
      <c r="H70" s="1" t="s">
        <v>40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40</v>
      </c>
      <c r="U70" s="3" t="s">
        <v>70</v>
      </c>
    </row>
    <row r="71">
      <c r="E71" s="1" t="s">
        <v>60</v>
      </c>
      <c r="F71" s="1">
        <v>8.0</v>
      </c>
      <c r="G71" s="1">
        <v>15.0</v>
      </c>
      <c r="H71" s="1" t="s">
        <v>40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40</v>
      </c>
      <c r="U71" s="3" t="s">
        <v>70</v>
      </c>
    </row>
    <row r="72">
      <c r="E72" s="1" t="s">
        <v>61</v>
      </c>
      <c r="F72" s="1">
        <v>8.0</v>
      </c>
      <c r="G72" s="1">
        <v>20.0</v>
      </c>
      <c r="H72" s="1" t="s">
        <v>40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40</v>
      </c>
      <c r="U72" s="3" t="s">
        <v>70</v>
      </c>
    </row>
    <row r="73">
      <c r="E73" s="1" t="s">
        <v>62</v>
      </c>
      <c r="F73" s="1">
        <v>8.0</v>
      </c>
      <c r="G73" s="1">
        <v>25.0</v>
      </c>
      <c r="H73" s="1" t="s">
        <v>40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40</v>
      </c>
      <c r="U73" s="3" t="s">
        <v>70</v>
      </c>
    </row>
    <row r="74">
      <c r="E74" s="1" t="s">
        <v>63</v>
      </c>
      <c r="F74" s="1">
        <v>8.0</v>
      </c>
      <c r="G74" s="1">
        <v>30.0</v>
      </c>
      <c r="H74" s="1" t="s">
        <v>40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40</v>
      </c>
      <c r="U74" s="3" t="s">
        <v>70</v>
      </c>
    </row>
    <row r="75">
      <c r="E75" s="1" t="s">
        <v>64</v>
      </c>
      <c r="F75" s="1">
        <v>8.0</v>
      </c>
      <c r="G75" s="1">
        <v>35.0</v>
      </c>
      <c r="H75" s="1" t="s">
        <v>40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40</v>
      </c>
      <c r="U75" s="3" t="s">
        <v>70</v>
      </c>
    </row>
    <row r="76">
      <c r="E76" s="1" t="s">
        <v>65</v>
      </c>
      <c r="F76" s="1">
        <v>8.0</v>
      </c>
      <c r="G76" s="1">
        <v>40.0</v>
      </c>
      <c r="H76" s="1" t="s">
        <v>40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40</v>
      </c>
      <c r="U76" s="3" t="s">
        <v>70</v>
      </c>
    </row>
    <row r="77">
      <c r="E77" s="1" t="s">
        <v>66</v>
      </c>
      <c r="F77" s="1">
        <v>8.0</v>
      </c>
      <c r="G77" s="1">
        <v>45.0</v>
      </c>
      <c r="H77" s="1" t="s">
        <v>40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40</v>
      </c>
      <c r="U77" s="3" t="s">
        <v>70</v>
      </c>
    </row>
    <row r="78">
      <c r="E78" s="1" t="s">
        <v>68</v>
      </c>
      <c r="F78" s="1">
        <v>0.0</v>
      </c>
      <c r="G78" s="1">
        <v>50.0</v>
      </c>
      <c r="H78" s="1" t="s">
        <v>40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40</v>
      </c>
      <c r="U78" s="3" t="s">
        <v>70</v>
      </c>
    </row>
    <row r="79">
      <c r="A79" s="3" t="s">
        <v>99</v>
      </c>
      <c r="E79" s="1" t="s">
        <v>38</v>
      </c>
      <c r="F79" s="1">
        <v>8.0</v>
      </c>
      <c r="G79" s="1">
        <v>0.0</v>
      </c>
      <c r="H79" s="1" t="s">
        <v>40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40</v>
      </c>
      <c r="U79" s="3" t="s">
        <v>70</v>
      </c>
    </row>
    <row r="80">
      <c r="E80" s="1" t="s">
        <v>59</v>
      </c>
      <c r="F80" s="1">
        <v>8.0</v>
      </c>
      <c r="G80" s="1">
        <v>10.0</v>
      </c>
      <c r="H80" s="1" t="s">
        <v>40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40</v>
      </c>
      <c r="U80" s="3" t="s">
        <v>70</v>
      </c>
    </row>
    <row r="81">
      <c r="E81" s="1" t="s">
        <v>60</v>
      </c>
      <c r="F81" s="1">
        <v>8.0</v>
      </c>
      <c r="G81" s="1">
        <v>15.0</v>
      </c>
      <c r="H81" s="1" t="s">
        <v>40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40</v>
      </c>
      <c r="U81" s="3" t="s">
        <v>70</v>
      </c>
    </row>
    <row r="82">
      <c r="E82" s="1" t="s">
        <v>61</v>
      </c>
      <c r="F82" s="1">
        <v>8.0</v>
      </c>
      <c r="G82" s="1">
        <v>20.0</v>
      </c>
      <c r="H82" s="1" t="s">
        <v>40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40</v>
      </c>
      <c r="U82" s="3" t="s">
        <v>70</v>
      </c>
    </row>
    <row r="83">
      <c r="E83" s="1" t="s">
        <v>62</v>
      </c>
      <c r="F83" s="1">
        <v>8.0</v>
      </c>
      <c r="G83" s="1">
        <v>25.0</v>
      </c>
      <c r="H83" s="1" t="s">
        <v>40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40</v>
      </c>
      <c r="U83" s="3" t="s">
        <v>70</v>
      </c>
    </row>
    <row r="84">
      <c r="E84" s="1" t="s">
        <v>63</v>
      </c>
      <c r="F84" s="1">
        <v>8.0</v>
      </c>
      <c r="G84" s="1">
        <v>30.0</v>
      </c>
      <c r="H84" s="1" t="s">
        <v>40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40</v>
      </c>
      <c r="U84" s="3" t="s">
        <v>70</v>
      </c>
    </row>
    <row r="85">
      <c r="E85" s="1" t="s">
        <v>64</v>
      </c>
      <c r="F85" s="1">
        <v>8.0</v>
      </c>
      <c r="G85" s="1">
        <v>35.0</v>
      </c>
      <c r="H85" s="1" t="s">
        <v>40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40</v>
      </c>
      <c r="U85" s="3" t="s">
        <v>70</v>
      </c>
    </row>
    <row r="86">
      <c r="E86" s="1" t="s">
        <v>65</v>
      </c>
      <c r="F86" s="1">
        <v>8.0</v>
      </c>
      <c r="G86" s="1">
        <v>40.0</v>
      </c>
      <c r="H86" s="1" t="s">
        <v>40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40</v>
      </c>
      <c r="U86" s="3" t="s">
        <v>70</v>
      </c>
    </row>
    <row r="87">
      <c r="E87" s="1" t="s">
        <v>66</v>
      </c>
      <c r="F87" s="1">
        <v>8.0</v>
      </c>
      <c r="G87" s="1">
        <v>45.0</v>
      </c>
      <c r="H87" s="1" t="s">
        <v>40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40</v>
      </c>
      <c r="U87" s="3" t="s">
        <v>70</v>
      </c>
    </row>
    <row r="88">
      <c r="E88" s="1" t="s">
        <v>68</v>
      </c>
      <c r="F88" s="1">
        <v>0.0</v>
      </c>
      <c r="G88" s="1">
        <v>50.0</v>
      </c>
      <c r="H88" s="1" t="s">
        <v>40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40</v>
      </c>
      <c r="U88" s="3" t="s">
        <v>70</v>
      </c>
    </row>
    <row r="89">
      <c r="A89" s="3" t="s">
        <v>36</v>
      </c>
      <c r="B89" s="3" t="s">
        <v>100</v>
      </c>
      <c r="E89" s="3" t="s">
        <v>101</v>
      </c>
      <c r="F89" s="3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3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3" t="s">
        <v>70</v>
      </c>
    </row>
    <row r="90">
      <c r="B90" s="3" t="s">
        <v>100</v>
      </c>
      <c r="E90" s="3" t="s">
        <v>102</v>
      </c>
      <c r="F90" s="3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3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3" t="s">
        <v>70</v>
      </c>
    </row>
    <row r="91">
      <c r="B91" s="3" t="s">
        <v>100</v>
      </c>
      <c r="E91" s="3" t="s">
        <v>103</v>
      </c>
      <c r="F91" s="3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3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3" t="s">
        <v>70</v>
      </c>
    </row>
    <row r="92">
      <c r="B92" s="3" t="s">
        <v>100</v>
      </c>
      <c r="E92" s="3" t="s">
        <v>104</v>
      </c>
      <c r="F92" s="3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3">
        <v>39.0</v>
      </c>
      <c r="M92" s="1">
        <v>3.0</v>
      </c>
      <c r="N92" s="1">
        <v>6.0</v>
      </c>
      <c r="O92" s="1">
        <v>10.0</v>
      </c>
      <c r="P92" s="3">
        <v>36.0</v>
      </c>
      <c r="Q92" s="3">
        <v>18.0</v>
      </c>
      <c r="R92" s="1">
        <f t="shared" si="7"/>
        <v>30</v>
      </c>
      <c r="S92" s="1">
        <v>6.0</v>
      </c>
      <c r="T92" s="1" t="s">
        <v>57</v>
      </c>
      <c r="U92" s="3" t="s">
        <v>70</v>
      </c>
    </row>
    <row r="93">
      <c r="B93" s="3" t="s">
        <v>100</v>
      </c>
      <c r="E93" s="3" t="s">
        <v>105</v>
      </c>
      <c r="F93" s="3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3">
        <v>39.0</v>
      </c>
      <c r="M93" s="1">
        <v>3.0</v>
      </c>
      <c r="N93" s="1">
        <v>6.0</v>
      </c>
      <c r="O93" s="1">
        <v>10.0</v>
      </c>
      <c r="P93" s="3">
        <v>36.0</v>
      </c>
      <c r="Q93" s="3">
        <v>18.0</v>
      </c>
      <c r="R93" s="1">
        <f t="shared" si="7"/>
        <v>30</v>
      </c>
      <c r="S93" s="1">
        <v>6.0</v>
      </c>
      <c r="T93" s="1" t="s">
        <v>57</v>
      </c>
      <c r="U93" s="3" t="s">
        <v>70</v>
      </c>
    </row>
    <row r="94">
      <c r="B94" s="3" t="s">
        <v>100</v>
      </c>
      <c r="E94" s="3" t="s">
        <v>106</v>
      </c>
      <c r="F94" s="3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3">
        <v>39.0</v>
      </c>
      <c r="M94" s="1">
        <v>3.0</v>
      </c>
      <c r="N94" s="1">
        <v>6.0</v>
      </c>
      <c r="O94" s="1">
        <v>10.0</v>
      </c>
      <c r="P94" s="3">
        <v>36.0</v>
      </c>
      <c r="Q94" s="3">
        <v>18.0</v>
      </c>
      <c r="R94" s="1">
        <f t="shared" si="7"/>
        <v>30</v>
      </c>
      <c r="S94" s="1">
        <v>6.0</v>
      </c>
      <c r="T94" s="1" t="s">
        <v>57</v>
      </c>
      <c r="U94" s="3" t="s">
        <v>70</v>
      </c>
    </row>
    <row r="95">
      <c r="B95" s="3" t="s">
        <v>100</v>
      </c>
      <c r="E95" s="3" t="s">
        <v>107</v>
      </c>
      <c r="F95" s="3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3">
        <v>39.0</v>
      </c>
      <c r="M95" s="1">
        <v>3.0</v>
      </c>
      <c r="N95" s="1">
        <v>6.0</v>
      </c>
      <c r="O95" s="1">
        <v>10.0</v>
      </c>
      <c r="P95" s="3">
        <v>36.0</v>
      </c>
      <c r="Q95" s="3">
        <v>18.0</v>
      </c>
      <c r="R95" s="1">
        <f t="shared" si="7"/>
        <v>30</v>
      </c>
      <c r="S95" s="1">
        <v>6.0</v>
      </c>
      <c r="T95" s="1" t="s">
        <v>57</v>
      </c>
      <c r="U95" s="3" t="s">
        <v>70</v>
      </c>
    </row>
    <row r="96">
      <c r="B96" s="3" t="s">
        <v>100</v>
      </c>
      <c r="E96" s="3" t="s">
        <v>108</v>
      </c>
      <c r="F96" s="3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3">
        <v>39.0</v>
      </c>
      <c r="M96" s="1">
        <v>3.0</v>
      </c>
      <c r="N96" s="1">
        <v>6.0</v>
      </c>
      <c r="O96" s="1">
        <v>10.0</v>
      </c>
      <c r="P96" s="3">
        <v>36.0</v>
      </c>
      <c r="Q96" s="3">
        <v>18.0</v>
      </c>
      <c r="R96" s="1">
        <f t="shared" si="7"/>
        <v>30</v>
      </c>
      <c r="S96" s="1">
        <v>6.0</v>
      </c>
      <c r="T96" s="1" t="s">
        <v>57</v>
      </c>
      <c r="U96" s="3" t="s">
        <v>70</v>
      </c>
    </row>
    <row r="97">
      <c r="B97" s="3" t="s">
        <v>100</v>
      </c>
      <c r="E97" s="3" t="s">
        <v>109</v>
      </c>
      <c r="F97" s="3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3">
        <v>39.0</v>
      </c>
      <c r="M97" s="1">
        <v>3.0</v>
      </c>
      <c r="N97" s="1">
        <v>6.0</v>
      </c>
      <c r="O97" s="1">
        <v>10.0</v>
      </c>
      <c r="P97" s="3">
        <v>36.0</v>
      </c>
      <c r="Q97" s="3">
        <v>18.0</v>
      </c>
      <c r="R97" s="1">
        <f t="shared" si="7"/>
        <v>30</v>
      </c>
      <c r="S97" s="1">
        <v>6.0</v>
      </c>
      <c r="T97" s="1" t="s">
        <v>57</v>
      </c>
      <c r="U97" s="3" t="s">
        <v>70</v>
      </c>
    </row>
    <row r="98">
      <c r="B98" s="3" t="s">
        <v>100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1">
        <v>25.0</v>
      </c>
      <c r="J98" s="1">
        <v>25.0</v>
      </c>
      <c r="K98" s="1">
        <v>3.0</v>
      </c>
      <c r="L98" s="1">
        <v>1.0</v>
      </c>
      <c r="M98" s="3">
        <v>0.0</v>
      </c>
      <c r="N98" s="1">
        <v>6.0</v>
      </c>
      <c r="O98" s="1">
        <v>10.0</v>
      </c>
      <c r="P98" s="1">
        <v>24.0</v>
      </c>
      <c r="Q98" s="3">
        <v>6.0</v>
      </c>
      <c r="R98" s="3">
        <v>18.0</v>
      </c>
      <c r="S98" s="1">
        <v>6.0</v>
      </c>
      <c r="T98" s="1" t="s">
        <v>57</v>
      </c>
      <c r="U98" s="3" t="s">
        <v>70</v>
      </c>
    </row>
    <row r="99">
      <c r="B99" s="3" t="s">
        <v>100</v>
      </c>
      <c r="D99" s="3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1">
        <v>25.0</v>
      </c>
      <c r="J99" s="1">
        <v>25.0</v>
      </c>
      <c r="K99" s="1">
        <v>3.0</v>
      </c>
      <c r="L99" s="1">
        <v>1.0</v>
      </c>
      <c r="M99" s="3">
        <v>0.0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3" t="s">
        <v>70</v>
      </c>
    </row>
    <row r="100">
      <c r="B100" s="3" t="s">
        <v>110</v>
      </c>
      <c r="E100" s="3" t="s">
        <v>101</v>
      </c>
      <c r="F100" s="3">
        <v>10.0</v>
      </c>
      <c r="G100" s="3">
        <v>0.0</v>
      </c>
      <c r="H100" s="1" t="s">
        <v>57</v>
      </c>
      <c r="I100" s="3">
        <v>5.0</v>
      </c>
      <c r="J100" s="3">
        <v>5.0</v>
      </c>
      <c r="K100" s="3">
        <v>3.0</v>
      </c>
      <c r="L100" s="3">
        <v>39.0</v>
      </c>
      <c r="M100" s="3">
        <v>3.0</v>
      </c>
      <c r="N100" s="3">
        <v>6.0</v>
      </c>
      <c r="O100" s="1">
        <v>10.0</v>
      </c>
      <c r="P100" s="3">
        <v>48.0</v>
      </c>
      <c r="Q100" s="3">
        <v>30.0</v>
      </c>
      <c r="R100" s="3">
        <v>42.0</v>
      </c>
      <c r="S100" s="1">
        <v>6.0</v>
      </c>
      <c r="T100" s="1" t="s">
        <v>57</v>
      </c>
      <c r="U100" s="3" t="s">
        <v>70</v>
      </c>
    </row>
    <row r="101">
      <c r="B101" s="3" t="s">
        <v>110</v>
      </c>
      <c r="E101" s="3" t="s">
        <v>111</v>
      </c>
      <c r="F101" s="3">
        <v>9.0</v>
      </c>
      <c r="G101" s="3">
        <v>7.0</v>
      </c>
      <c r="H101" s="1" t="s">
        <v>57</v>
      </c>
      <c r="I101" s="3">
        <v>5.0</v>
      </c>
      <c r="J101" s="3">
        <v>5.0</v>
      </c>
      <c r="K101" s="3">
        <v>3.0</v>
      </c>
      <c r="L101" s="3">
        <v>35.0</v>
      </c>
      <c r="M101" s="3">
        <v>3.0</v>
      </c>
      <c r="N101" s="3">
        <v>6.0</v>
      </c>
      <c r="O101" s="1">
        <v>10.0</v>
      </c>
      <c r="P101" s="3">
        <v>48.0</v>
      </c>
      <c r="Q101" s="3">
        <v>30.0</v>
      </c>
      <c r="R101" s="3">
        <v>42.0</v>
      </c>
      <c r="S101" s="1">
        <v>6.0</v>
      </c>
      <c r="T101" s="1" t="s">
        <v>57</v>
      </c>
      <c r="U101" s="3" t="s">
        <v>70</v>
      </c>
    </row>
    <row r="102">
      <c r="B102" s="3" t="s">
        <v>110</v>
      </c>
      <c r="E102" s="3" t="s">
        <v>38</v>
      </c>
      <c r="F102" s="3">
        <v>8.0</v>
      </c>
      <c r="G102" s="3">
        <v>14.0</v>
      </c>
      <c r="H102" s="1" t="s">
        <v>57</v>
      </c>
      <c r="I102" s="3">
        <v>5.0</v>
      </c>
      <c r="J102" s="3">
        <v>5.0</v>
      </c>
      <c r="K102" s="3">
        <v>3.0</v>
      </c>
      <c r="L102" s="3">
        <v>31.0</v>
      </c>
      <c r="M102" s="3">
        <v>3.0</v>
      </c>
      <c r="N102" s="3">
        <v>6.0</v>
      </c>
      <c r="O102" s="1">
        <v>10.0</v>
      </c>
      <c r="P102" s="3">
        <v>48.0</v>
      </c>
      <c r="Q102" s="3">
        <v>30.0</v>
      </c>
      <c r="R102" s="3">
        <v>42.0</v>
      </c>
      <c r="S102" s="1">
        <v>6.0</v>
      </c>
      <c r="T102" s="1" t="s">
        <v>57</v>
      </c>
      <c r="U102" s="3" t="s">
        <v>70</v>
      </c>
    </row>
    <row r="103">
      <c r="B103" s="3" t="s">
        <v>110</v>
      </c>
      <c r="E103" s="3" t="s">
        <v>112</v>
      </c>
      <c r="F103" s="3">
        <v>7.0</v>
      </c>
      <c r="G103" s="3">
        <v>21.0</v>
      </c>
      <c r="H103" s="1" t="s">
        <v>57</v>
      </c>
      <c r="I103" s="3">
        <v>5.0</v>
      </c>
      <c r="J103" s="3">
        <v>5.0</v>
      </c>
      <c r="K103" s="3">
        <v>3.0</v>
      </c>
      <c r="L103" s="3">
        <v>27.0</v>
      </c>
      <c r="M103" s="3">
        <v>3.0</v>
      </c>
      <c r="N103" s="3">
        <v>6.0</v>
      </c>
      <c r="O103" s="1">
        <v>10.0</v>
      </c>
      <c r="P103" s="3">
        <v>48.0</v>
      </c>
      <c r="Q103" s="3">
        <v>30.0</v>
      </c>
      <c r="R103" s="3">
        <v>42.0</v>
      </c>
      <c r="S103" s="1">
        <v>6.0</v>
      </c>
      <c r="T103" s="1" t="s">
        <v>57</v>
      </c>
      <c r="U103" s="3" t="s">
        <v>70</v>
      </c>
    </row>
    <row r="104">
      <c r="B104" s="3" t="s">
        <v>110</v>
      </c>
      <c r="E104" s="3" t="s">
        <v>113</v>
      </c>
      <c r="F104" s="3">
        <v>6.0</v>
      </c>
      <c r="G104" s="3">
        <v>28.0</v>
      </c>
      <c r="H104" s="1" t="s">
        <v>57</v>
      </c>
      <c r="I104" s="3">
        <v>5.0</v>
      </c>
      <c r="J104" s="3">
        <v>5.0</v>
      </c>
      <c r="K104" s="3">
        <v>3.0</v>
      </c>
      <c r="L104" s="3">
        <v>23.0</v>
      </c>
      <c r="M104" s="3">
        <v>3.0</v>
      </c>
      <c r="N104" s="3">
        <v>6.0</v>
      </c>
      <c r="O104" s="1">
        <v>10.0</v>
      </c>
      <c r="P104" s="3">
        <v>48.0</v>
      </c>
      <c r="Q104" s="3">
        <v>30.0</v>
      </c>
      <c r="R104" s="3">
        <v>42.0</v>
      </c>
      <c r="S104" s="1">
        <v>6.0</v>
      </c>
      <c r="T104" s="1" t="s">
        <v>57</v>
      </c>
      <c r="U104" s="3" t="s">
        <v>70</v>
      </c>
    </row>
    <row r="105">
      <c r="B105" s="3" t="s">
        <v>110</v>
      </c>
      <c r="E105" s="3" t="s">
        <v>114</v>
      </c>
      <c r="F105" s="3">
        <v>5.0</v>
      </c>
      <c r="G105" s="3">
        <v>35.0</v>
      </c>
      <c r="H105" s="1" t="s">
        <v>57</v>
      </c>
      <c r="I105" s="3">
        <v>5.0</v>
      </c>
      <c r="J105" s="3">
        <v>5.0</v>
      </c>
      <c r="K105" s="3">
        <v>3.0</v>
      </c>
      <c r="L105" s="3">
        <v>19.0</v>
      </c>
      <c r="M105" s="3">
        <v>3.0</v>
      </c>
      <c r="N105" s="3">
        <v>6.0</v>
      </c>
      <c r="O105" s="1">
        <v>10.0</v>
      </c>
      <c r="P105" s="3">
        <v>48.0</v>
      </c>
      <c r="Q105" s="3">
        <v>30.0</v>
      </c>
      <c r="R105" s="3">
        <v>42.0</v>
      </c>
      <c r="S105" s="1">
        <v>6.0</v>
      </c>
      <c r="T105" s="1" t="s">
        <v>57</v>
      </c>
      <c r="U105" s="3" t="s">
        <v>70</v>
      </c>
    </row>
    <row r="106">
      <c r="A106" s="1" t="s">
        <v>88</v>
      </c>
      <c r="B106" s="1" t="s">
        <v>89</v>
      </c>
      <c r="E106" s="3" t="s">
        <v>94</v>
      </c>
      <c r="F106" s="3">
        <v>5.0</v>
      </c>
      <c r="G106" s="3">
        <v>15.0</v>
      </c>
      <c r="H106" s="1" t="s">
        <v>40</v>
      </c>
      <c r="I106" s="3">
        <v>5.0</v>
      </c>
      <c r="J106" s="3">
        <v>5.0</v>
      </c>
      <c r="K106" s="3">
        <v>3.0</v>
      </c>
      <c r="L106" s="1">
        <f>5*4-1</f>
        <v>19</v>
      </c>
      <c r="M106" s="1">
        <v>3.0</v>
      </c>
      <c r="N106" s="1">
        <v>6.0</v>
      </c>
      <c r="O106" s="1">
        <v>10.0</v>
      </c>
      <c r="P106" s="1">
        <v>42.0</v>
      </c>
      <c r="Q106" s="1">
        <v>15.0</v>
      </c>
      <c r="R106" s="1">
        <v>39.0</v>
      </c>
      <c r="S106" s="1">
        <v>6.0</v>
      </c>
      <c r="T106" s="1" t="s">
        <v>40</v>
      </c>
      <c r="U106" s="3" t="s">
        <v>70</v>
      </c>
    </row>
    <row r="107">
      <c r="B107" s="1" t="s">
        <v>89</v>
      </c>
      <c r="E107" s="3" t="s">
        <v>93</v>
      </c>
      <c r="F107" s="3">
        <v>6.0</v>
      </c>
      <c r="G107" s="3">
        <v>10.0</v>
      </c>
      <c r="H107" s="1" t="s">
        <v>40</v>
      </c>
      <c r="I107" s="3">
        <v>5.0</v>
      </c>
      <c r="J107" s="3">
        <v>5.0</v>
      </c>
      <c r="K107" s="1">
        <v>3.0</v>
      </c>
      <c r="L107" s="1">
        <f>6*4-1</f>
        <v>23</v>
      </c>
      <c r="M107" s="1">
        <v>3.0</v>
      </c>
      <c r="N107" s="1">
        <v>6.0</v>
      </c>
      <c r="O107" s="1">
        <v>10.0</v>
      </c>
      <c r="P107" s="1">
        <v>42.0</v>
      </c>
      <c r="Q107" s="1">
        <v>15.0</v>
      </c>
      <c r="R107" s="1">
        <v>39.0</v>
      </c>
      <c r="S107" s="1">
        <v>6.0</v>
      </c>
      <c r="T107" s="1" t="s">
        <v>40</v>
      </c>
      <c r="U107" s="3" t="s">
        <v>70</v>
      </c>
    </row>
    <row r="108">
      <c r="B108" s="1" t="s">
        <v>89</v>
      </c>
      <c r="E108" s="1" t="s">
        <v>92</v>
      </c>
      <c r="F108" s="1">
        <v>7.0</v>
      </c>
      <c r="G108" s="3">
        <v>0.0</v>
      </c>
      <c r="H108" s="1" t="s">
        <v>40</v>
      </c>
      <c r="I108" s="3">
        <v>5.0</v>
      </c>
      <c r="J108" s="3">
        <v>5.0</v>
      </c>
      <c r="K108" s="1">
        <v>3.0</v>
      </c>
      <c r="L108" s="3">
        <f>7*4-1</f>
        <v>27</v>
      </c>
      <c r="M108" s="1">
        <v>3.0</v>
      </c>
      <c r="N108" s="1">
        <v>6.0</v>
      </c>
      <c r="O108" s="1">
        <v>10.0</v>
      </c>
      <c r="P108" s="1">
        <v>42.0</v>
      </c>
      <c r="Q108" s="1">
        <v>15.0</v>
      </c>
      <c r="R108" s="1">
        <v>39.0</v>
      </c>
      <c r="S108" s="1">
        <v>6.0</v>
      </c>
      <c r="T108" s="1" t="s">
        <v>40</v>
      </c>
      <c r="U108" s="3" t="s">
        <v>70</v>
      </c>
    </row>
    <row r="109">
      <c r="B109" s="1" t="s">
        <v>89</v>
      </c>
      <c r="E109" s="3" t="s">
        <v>115</v>
      </c>
      <c r="F109" s="3">
        <v>8.0</v>
      </c>
      <c r="G109" s="3">
        <v>0.0</v>
      </c>
      <c r="H109" s="1" t="s">
        <v>40</v>
      </c>
      <c r="I109" s="3">
        <v>10.0</v>
      </c>
      <c r="J109" s="3">
        <v>5.0</v>
      </c>
      <c r="K109" s="1">
        <v>3.0</v>
      </c>
      <c r="L109" s="3">
        <f>8*4-1</f>
        <v>31</v>
      </c>
      <c r="M109" s="1">
        <v>3.0</v>
      </c>
      <c r="N109" s="1">
        <v>6.0</v>
      </c>
      <c r="O109" s="1">
        <v>10.0</v>
      </c>
      <c r="P109" s="1">
        <v>42.0</v>
      </c>
      <c r="Q109" s="1">
        <v>15.0</v>
      </c>
      <c r="R109" s="1">
        <v>39.0</v>
      </c>
      <c r="S109" s="1">
        <v>6.0</v>
      </c>
      <c r="T109" s="1" t="s">
        <v>40</v>
      </c>
      <c r="U109" s="3" t="s">
        <v>70</v>
      </c>
    </row>
    <row r="110">
      <c r="B110" s="1" t="s">
        <v>89</v>
      </c>
      <c r="E110" s="3" t="s">
        <v>116</v>
      </c>
      <c r="F110" s="3">
        <v>9.0</v>
      </c>
      <c r="G110" s="3">
        <v>0.0</v>
      </c>
      <c r="H110" s="1" t="s">
        <v>40</v>
      </c>
      <c r="I110" s="3">
        <v>10.0</v>
      </c>
      <c r="J110" s="3">
        <v>10.0</v>
      </c>
      <c r="K110" s="1">
        <v>3.0</v>
      </c>
      <c r="L110" s="3">
        <f>9*4-1</f>
        <v>35</v>
      </c>
      <c r="M110" s="1">
        <v>3.0</v>
      </c>
      <c r="N110" s="1">
        <v>6.0</v>
      </c>
      <c r="O110" s="1">
        <v>10.0</v>
      </c>
      <c r="P110" s="1">
        <v>42.0</v>
      </c>
      <c r="Q110" s="1">
        <v>15.0</v>
      </c>
      <c r="R110" s="1">
        <v>39.0</v>
      </c>
      <c r="S110" s="1">
        <v>6.0</v>
      </c>
      <c r="T110" s="1" t="s">
        <v>40</v>
      </c>
      <c r="U110" s="3" t="s">
        <v>70</v>
      </c>
    </row>
    <row r="111">
      <c r="B111" s="1" t="s">
        <v>89</v>
      </c>
      <c r="C111" s="4"/>
      <c r="E111" s="3" t="s">
        <v>117</v>
      </c>
      <c r="F111" s="3">
        <v>10.0</v>
      </c>
      <c r="G111" s="3">
        <v>0.0</v>
      </c>
      <c r="H111" s="1" t="s">
        <v>40</v>
      </c>
      <c r="I111" s="3">
        <v>15.0</v>
      </c>
      <c r="J111" s="3">
        <v>10.0</v>
      </c>
      <c r="K111" s="1">
        <v>3.0</v>
      </c>
      <c r="L111" s="1">
        <f>10*4-1</f>
        <v>39</v>
      </c>
      <c r="M111" s="1">
        <v>3.0</v>
      </c>
      <c r="N111" s="1">
        <v>6.0</v>
      </c>
      <c r="O111" s="1">
        <v>10.0</v>
      </c>
      <c r="P111" s="1">
        <v>42.0</v>
      </c>
      <c r="Q111" s="1">
        <v>15.0</v>
      </c>
      <c r="R111" s="1">
        <v>39.0</v>
      </c>
      <c r="S111" s="1">
        <v>6.0</v>
      </c>
      <c r="T111" s="1" t="s">
        <v>40</v>
      </c>
      <c r="U111" s="3" t="s">
        <v>70</v>
      </c>
    </row>
    <row r="112">
      <c r="B112" s="1" t="s">
        <v>95</v>
      </c>
      <c r="C112" s="4">
        <v>20000.0</v>
      </c>
      <c r="E112" s="3" t="s">
        <v>94</v>
      </c>
      <c r="F112" s="3">
        <v>5.0</v>
      </c>
      <c r="G112" s="3">
        <v>15.0</v>
      </c>
      <c r="H112" s="1" t="s">
        <v>40</v>
      </c>
      <c r="I112" s="3">
        <v>5.0</v>
      </c>
      <c r="J112" s="3">
        <v>5.0</v>
      </c>
      <c r="K112" s="3">
        <v>3.0</v>
      </c>
      <c r="L112" s="1">
        <f>5*4-1</f>
        <v>19</v>
      </c>
      <c r="M112" s="1">
        <v>3.0</v>
      </c>
      <c r="N112" s="1">
        <v>6.0</v>
      </c>
      <c r="O112" s="1">
        <v>10.0</v>
      </c>
      <c r="P112" s="1">
        <v>42.0</v>
      </c>
      <c r="Q112" s="1">
        <v>15.0</v>
      </c>
      <c r="R112" s="1">
        <v>39.0</v>
      </c>
      <c r="S112" s="1">
        <v>6.0</v>
      </c>
      <c r="T112" s="1" t="s">
        <v>40</v>
      </c>
      <c r="U112" s="3" t="s">
        <v>70</v>
      </c>
    </row>
    <row r="113">
      <c r="B113" s="1" t="s">
        <v>95</v>
      </c>
      <c r="C113" s="4">
        <v>20000.0</v>
      </c>
      <c r="E113" s="3" t="s">
        <v>93</v>
      </c>
      <c r="F113" s="3">
        <v>6.0</v>
      </c>
      <c r="G113" s="3">
        <v>10.0</v>
      </c>
      <c r="H113" s="1" t="s">
        <v>40</v>
      </c>
      <c r="I113" s="3">
        <v>5.0</v>
      </c>
      <c r="J113" s="3">
        <v>5.0</v>
      </c>
      <c r="K113" s="1">
        <v>3.0</v>
      </c>
      <c r="L113" s="1">
        <f>6*4-1</f>
        <v>23</v>
      </c>
      <c r="M113" s="1">
        <v>3.0</v>
      </c>
      <c r="N113" s="1">
        <v>6.0</v>
      </c>
      <c r="O113" s="1">
        <v>10.0</v>
      </c>
      <c r="P113" s="1">
        <v>42.0</v>
      </c>
      <c r="Q113" s="1">
        <v>15.0</v>
      </c>
      <c r="R113" s="1">
        <v>39.0</v>
      </c>
      <c r="S113" s="1">
        <v>6.0</v>
      </c>
      <c r="T113" s="1" t="s">
        <v>40</v>
      </c>
      <c r="U113" s="3" t="s">
        <v>70</v>
      </c>
    </row>
    <row r="114">
      <c r="B114" s="1" t="s">
        <v>95</v>
      </c>
      <c r="C114" s="4">
        <v>20000.0</v>
      </c>
      <c r="E114" s="1" t="s">
        <v>92</v>
      </c>
      <c r="F114" s="1">
        <v>7.0</v>
      </c>
      <c r="G114" s="3">
        <v>0.0</v>
      </c>
      <c r="H114" s="1" t="s">
        <v>40</v>
      </c>
      <c r="I114" s="3">
        <v>5.0</v>
      </c>
      <c r="J114" s="3">
        <v>5.0</v>
      </c>
      <c r="K114" s="1">
        <v>3.0</v>
      </c>
      <c r="L114" s="3">
        <f>7*4-1</f>
        <v>27</v>
      </c>
      <c r="M114" s="1">
        <v>3.0</v>
      </c>
      <c r="N114" s="1">
        <v>6.0</v>
      </c>
      <c r="O114" s="1">
        <v>10.0</v>
      </c>
      <c r="P114" s="1">
        <v>42.0</v>
      </c>
      <c r="Q114" s="1">
        <v>15.0</v>
      </c>
      <c r="R114" s="1">
        <v>39.0</v>
      </c>
      <c r="S114" s="1">
        <v>6.0</v>
      </c>
      <c r="T114" s="1" t="s">
        <v>40</v>
      </c>
      <c r="U114" s="3" t="s">
        <v>70</v>
      </c>
    </row>
    <row r="115">
      <c r="B115" s="1" t="s">
        <v>95</v>
      </c>
      <c r="C115" s="4">
        <v>20000.0</v>
      </c>
      <c r="E115" s="3" t="s">
        <v>115</v>
      </c>
      <c r="F115" s="3">
        <v>8.0</v>
      </c>
      <c r="G115" s="3">
        <v>0.0</v>
      </c>
      <c r="H115" s="1" t="s">
        <v>40</v>
      </c>
      <c r="I115" s="3">
        <v>10.0</v>
      </c>
      <c r="J115" s="3">
        <v>5.0</v>
      </c>
      <c r="K115" s="1">
        <v>3.0</v>
      </c>
      <c r="L115" s="3">
        <f>8*4-1</f>
        <v>31</v>
      </c>
      <c r="M115" s="1">
        <v>3.0</v>
      </c>
      <c r="N115" s="1">
        <v>6.0</v>
      </c>
      <c r="O115" s="1">
        <v>10.0</v>
      </c>
      <c r="P115" s="1">
        <v>42.0</v>
      </c>
      <c r="Q115" s="1">
        <v>15.0</v>
      </c>
      <c r="R115" s="1">
        <v>39.0</v>
      </c>
      <c r="S115" s="1">
        <v>6.0</v>
      </c>
      <c r="T115" s="1" t="s">
        <v>40</v>
      </c>
      <c r="U115" s="3" t="s">
        <v>70</v>
      </c>
    </row>
    <row r="116">
      <c r="B116" s="1" t="s">
        <v>95</v>
      </c>
      <c r="C116" s="4">
        <v>20000.0</v>
      </c>
      <c r="E116" s="3" t="s">
        <v>116</v>
      </c>
      <c r="F116" s="3">
        <v>9.0</v>
      </c>
      <c r="G116" s="3">
        <v>0.0</v>
      </c>
      <c r="H116" s="1" t="s">
        <v>40</v>
      </c>
      <c r="I116" s="3">
        <v>10.0</v>
      </c>
      <c r="J116" s="3">
        <v>10.0</v>
      </c>
      <c r="K116" s="1">
        <v>3.0</v>
      </c>
      <c r="L116" s="3">
        <f>9*4-1</f>
        <v>35</v>
      </c>
      <c r="M116" s="1">
        <v>3.0</v>
      </c>
      <c r="N116" s="1">
        <v>6.0</v>
      </c>
      <c r="O116" s="1">
        <v>10.0</v>
      </c>
      <c r="P116" s="1">
        <v>42.0</v>
      </c>
      <c r="Q116" s="1">
        <v>15.0</v>
      </c>
      <c r="R116" s="1">
        <v>39.0</v>
      </c>
      <c r="S116" s="1">
        <v>6.0</v>
      </c>
      <c r="T116" s="1" t="s">
        <v>40</v>
      </c>
      <c r="U116" s="3" t="s">
        <v>70</v>
      </c>
    </row>
    <row r="117">
      <c r="B117" s="1" t="s">
        <v>95</v>
      </c>
      <c r="C117" s="4">
        <v>20000.0</v>
      </c>
      <c r="E117" s="3" t="s">
        <v>117</v>
      </c>
      <c r="F117" s="3">
        <v>10.0</v>
      </c>
      <c r="G117" s="3">
        <v>0.0</v>
      </c>
      <c r="H117" s="1" t="s">
        <v>40</v>
      </c>
      <c r="I117" s="3">
        <v>15.0</v>
      </c>
      <c r="J117" s="3">
        <v>10.0</v>
      </c>
      <c r="K117" s="1">
        <v>3.0</v>
      </c>
      <c r="L117" s="1">
        <f>10*4-1</f>
        <v>39</v>
      </c>
      <c r="M117" s="1">
        <v>3.0</v>
      </c>
      <c r="N117" s="1">
        <v>6.0</v>
      </c>
      <c r="O117" s="1">
        <v>10.0</v>
      </c>
      <c r="P117" s="1">
        <v>42.0</v>
      </c>
      <c r="Q117" s="1">
        <v>15.0</v>
      </c>
      <c r="R117" s="1">
        <v>39.0</v>
      </c>
      <c r="S117" s="1">
        <v>6.0</v>
      </c>
      <c r="T117" s="1" t="s">
        <v>40</v>
      </c>
      <c r="U117" s="3" t="s">
        <v>70</v>
      </c>
    </row>
    <row r="118">
      <c r="A118" s="3" t="s">
        <v>118</v>
      </c>
      <c r="E118" s="3" t="s">
        <v>93</v>
      </c>
      <c r="F118" s="3">
        <v>6.0</v>
      </c>
      <c r="G118" s="3">
        <v>15.0</v>
      </c>
      <c r="H118" s="1" t="s">
        <v>40</v>
      </c>
      <c r="I118" s="3">
        <v>5.0</v>
      </c>
      <c r="J118" s="3">
        <v>5.0</v>
      </c>
      <c r="K118" s="1">
        <v>3.0</v>
      </c>
      <c r="L118" s="1">
        <f>6*4-1</f>
        <v>23</v>
      </c>
      <c r="M118" s="1">
        <v>3.0</v>
      </c>
      <c r="N118" s="1">
        <v>6.0</v>
      </c>
      <c r="O118" s="1">
        <v>10.0</v>
      </c>
      <c r="P118" s="1">
        <v>42.0</v>
      </c>
      <c r="Q118" s="1">
        <v>15.0</v>
      </c>
      <c r="R118" s="1">
        <v>39.0</v>
      </c>
      <c r="S118" s="1">
        <v>6.0</v>
      </c>
      <c r="T118" s="1" t="s">
        <v>40</v>
      </c>
      <c r="U118" s="3" t="s">
        <v>70</v>
      </c>
    </row>
    <row r="119">
      <c r="E119" s="3" t="s">
        <v>92</v>
      </c>
      <c r="F119" s="3">
        <v>7.0</v>
      </c>
      <c r="G119" s="3">
        <v>10.0</v>
      </c>
      <c r="H119" s="1" t="s">
        <v>40</v>
      </c>
      <c r="I119" s="3">
        <v>5.0</v>
      </c>
      <c r="J119" s="3">
        <v>5.0</v>
      </c>
      <c r="K119" s="1">
        <v>3.0</v>
      </c>
      <c r="L119" s="1">
        <f>7*4-1</f>
        <v>27</v>
      </c>
      <c r="M119" s="1">
        <v>3.0</v>
      </c>
      <c r="N119" s="1">
        <v>6.0</v>
      </c>
      <c r="O119" s="1">
        <v>10.0</v>
      </c>
      <c r="P119" s="1">
        <v>42.0</v>
      </c>
      <c r="Q119" s="1">
        <v>15.0</v>
      </c>
      <c r="R119" s="1">
        <v>39.0</v>
      </c>
      <c r="S119" s="1">
        <v>6.0</v>
      </c>
      <c r="T119" s="1" t="s">
        <v>40</v>
      </c>
      <c r="U119" s="3" t="s">
        <v>70</v>
      </c>
    </row>
    <row r="120">
      <c r="E120" s="3" t="s">
        <v>91</v>
      </c>
      <c r="F120" s="3">
        <v>8.0</v>
      </c>
      <c r="G120" s="3">
        <v>0.0</v>
      </c>
      <c r="H120" s="1" t="s">
        <v>40</v>
      </c>
      <c r="I120" s="3">
        <v>5.0</v>
      </c>
      <c r="J120" s="3">
        <v>5.0</v>
      </c>
      <c r="K120" s="1">
        <v>3.0</v>
      </c>
      <c r="L120" s="1">
        <f>8*4-1</f>
        <v>31</v>
      </c>
      <c r="M120" s="1">
        <v>3.0</v>
      </c>
      <c r="N120" s="1">
        <v>6.0</v>
      </c>
      <c r="O120" s="1">
        <v>10.0</v>
      </c>
      <c r="P120" s="1">
        <v>42.0</v>
      </c>
      <c r="Q120" s="1">
        <v>15.0</v>
      </c>
      <c r="R120" s="1">
        <v>39.0</v>
      </c>
      <c r="S120" s="1">
        <v>6.0</v>
      </c>
      <c r="T120" s="1" t="s">
        <v>40</v>
      </c>
      <c r="U120" s="3" t="s">
        <v>70</v>
      </c>
    </row>
    <row r="121">
      <c r="E121" s="3" t="s">
        <v>119</v>
      </c>
      <c r="F121" s="3">
        <v>9.0</v>
      </c>
      <c r="G121" s="3">
        <v>0.0</v>
      </c>
      <c r="H121" s="1" t="s">
        <v>40</v>
      </c>
      <c r="I121" s="3">
        <v>10.0</v>
      </c>
      <c r="J121" s="3">
        <v>5.0</v>
      </c>
      <c r="K121" s="1">
        <v>3.0</v>
      </c>
      <c r="L121" s="1">
        <f>4*9-1</f>
        <v>35</v>
      </c>
      <c r="M121" s="1">
        <v>3.0</v>
      </c>
      <c r="N121" s="1">
        <v>6.0</v>
      </c>
      <c r="O121" s="1">
        <v>10.0</v>
      </c>
      <c r="P121" s="1">
        <v>42.0</v>
      </c>
      <c r="Q121" s="1">
        <v>15.0</v>
      </c>
      <c r="R121" s="1">
        <v>39.0</v>
      </c>
      <c r="S121" s="1">
        <v>6.0</v>
      </c>
      <c r="T121" s="1" t="s">
        <v>40</v>
      </c>
      <c r="U121" s="3" t="s">
        <v>70</v>
      </c>
    </row>
    <row r="122">
      <c r="E122" s="3" t="s">
        <v>120</v>
      </c>
      <c r="F122" s="3">
        <v>10.0</v>
      </c>
      <c r="G122" s="3">
        <v>0.0</v>
      </c>
      <c r="H122" s="1" t="s">
        <v>40</v>
      </c>
      <c r="I122" s="3">
        <v>10.0</v>
      </c>
      <c r="J122" s="3">
        <v>10.0</v>
      </c>
      <c r="K122" s="1">
        <v>3.0</v>
      </c>
      <c r="L122" s="3">
        <v>39.0</v>
      </c>
      <c r="M122" s="1">
        <v>3.0</v>
      </c>
      <c r="N122" s="1">
        <v>6.0</v>
      </c>
      <c r="O122" s="1">
        <v>10.0</v>
      </c>
      <c r="P122" s="1">
        <v>42.0</v>
      </c>
      <c r="Q122" s="1">
        <v>15.0</v>
      </c>
      <c r="R122" s="1">
        <v>39.0</v>
      </c>
      <c r="S122" s="1">
        <v>6.0</v>
      </c>
      <c r="T122" s="1" t="s">
        <v>40</v>
      </c>
      <c r="U122" s="3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5</v>
      </c>
      <c r="B2" s="1" t="s">
        <v>7</v>
      </c>
    </row>
    <row r="3" ht="15.0" customHeight="1">
      <c r="A3" s="1" t="s">
        <v>10</v>
      </c>
      <c r="B3" s="1" t="s">
        <v>12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1</v>
      </c>
      <c r="B1" s="1" t="s">
        <v>9</v>
      </c>
    </row>
    <row r="2" ht="15.0" customHeight="1">
      <c r="A2" s="1" t="s">
        <v>9</v>
      </c>
      <c r="B2" s="1" t="s">
        <v>9</v>
      </c>
    </row>
    <row r="3" ht="15.0" customHeight="1">
      <c r="A3" s="1" t="s">
        <v>17</v>
      </c>
      <c r="B3" s="2" t="s">
        <v>21</v>
      </c>
    </row>
    <row r="4" ht="15.0" customHeight="1">
      <c r="A4" s="1" t="s">
        <v>28</v>
      </c>
      <c r="B4" s="2" t="s">
        <v>30</v>
      </c>
    </row>
    <row r="5" ht="15.0" customHeight="1">
      <c r="A5" s="1" t="s">
        <v>31</v>
      </c>
      <c r="B5" s="2" t="s">
        <v>32</v>
      </c>
    </row>
    <row r="6" ht="15.0" customHeight="1">
      <c r="A6" s="1" t="s">
        <v>9</v>
      </c>
      <c r="B6" s="1" t="s">
        <v>9</v>
      </c>
    </row>
    <row r="7" ht="15.0" customHeight="1">
      <c r="A7" s="1" t="s">
        <v>34</v>
      </c>
      <c r="B7" s="2" t="s">
        <v>35</v>
      </c>
    </row>
    <row r="8" ht="15.0" customHeight="1">
      <c r="A8" s="1" t="s">
        <v>2</v>
      </c>
      <c r="B8" s="2" t="s">
        <v>37</v>
      </c>
    </row>
    <row r="9" ht="15.0" customHeight="1">
      <c r="A9" s="1" t="s">
        <v>11</v>
      </c>
      <c r="B9" s="1" t="s">
        <v>39</v>
      </c>
    </row>
    <row r="10" ht="15.0" customHeight="1">
      <c r="A10" s="1" t="s">
        <v>13</v>
      </c>
      <c r="B10" s="1" t="s">
        <v>41</v>
      </c>
    </row>
    <row r="11" ht="15.0" customHeight="1">
      <c r="A11" s="1" t="s">
        <v>14</v>
      </c>
      <c r="B11" s="2" t="s">
        <v>42</v>
      </c>
    </row>
    <row r="12" ht="15.0" customHeight="1">
      <c r="A12" s="1" t="s">
        <v>16</v>
      </c>
      <c r="B12" s="1" t="s">
        <v>43</v>
      </c>
    </row>
    <row r="13" ht="15.0" customHeight="1">
      <c r="A13" s="1" t="s">
        <v>18</v>
      </c>
      <c r="B13" s="1" t="s">
        <v>44</v>
      </c>
    </row>
    <row r="14" ht="15.0" customHeight="1">
      <c r="A14" s="1" t="s">
        <v>19</v>
      </c>
      <c r="B14" s="2" t="s">
        <v>45</v>
      </c>
    </row>
    <row r="15" ht="15.0" customHeight="1">
      <c r="A15" s="1" t="s">
        <v>20</v>
      </c>
      <c r="B15" s="1" t="s">
        <v>46</v>
      </c>
    </row>
    <row r="16" ht="15.0" customHeight="1">
      <c r="A16" s="1" t="s">
        <v>22</v>
      </c>
      <c r="B16" s="2" t="s">
        <v>47</v>
      </c>
    </row>
    <row r="17" ht="15.0" customHeight="1">
      <c r="A17" s="1" t="s">
        <v>23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24</v>
      </c>
      <c r="B20" s="1" t="s">
        <v>53</v>
      </c>
    </row>
    <row r="21" ht="15.0" customHeight="1">
      <c r="A21" s="1" t="s">
        <v>25</v>
      </c>
      <c r="B21" s="2" t="s">
        <v>54</v>
      </c>
    </row>
    <row r="22" ht="15.0" customHeight="1">
      <c r="A22" s="1" t="s">
        <v>9</v>
      </c>
      <c r="B22" s="1" t="s">
        <v>9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