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jects" sheetId="1" r:id="rId5"/>
    <sheet state="visible" name="Settings" sheetId="2" r:id="rId6"/>
    <sheet state="visible" name="ReadMe" sheetId="3" r:id="rId7"/>
  </sheets>
  <definedNames/>
  <calcPr/>
</workbook>
</file>

<file path=xl/sharedStrings.xml><?xml version="1.0" encoding="utf-8"?>
<sst xmlns="http://schemas.openxmlformats.org/spreadsheetml/2006/main" count="356" uniqueCount="96">
  <si>
    <t>Project</t>
  </si>
  <si>
    <t>Type</t>
  </si>
  <si>
    <t>BUA</t>
  </si>
  <si>
    <t>Phase</t>
  </si>
  <si>
    <t>Plan</t>
  </si>
  <si>
    <t>Years</t>
  </si>
  <si>
    <t>Discount %</t>
  </si>
  <si>
    <t>Down Payment Type</t>
  </si>
  <si>
    <t>Down Payment 1 %</t>
  </si>
  <si>
    <t>Down Payment 2 %</t>
  </si>
  <si>
    <t>DP2 Due (months)</t>
  </si>
  <si>
    <t>Installments Count</t>
  </si>
  <si>
    <t>Installment Every (months)</t>
  </si>
  <si>
    <t>First Installment Due (months)</t>
  </si>
  <si>
    <t>Maintenance %</t>
  </si>
  <si>
    <t>Delivery (months)</t>
  </si>
  <si>
    <t>First Installment Maintenance Due (months)</t>
  </si>
  <si>
    <t>Ending Installment Maintenance Due (months)</t>
  </si>
  <si>
    <t>Maintenance Basis</t>
  </si>
  <si>
    <t>YOUD</t>
  </si>
  <si>
    <t>5% DP &amp; 5% After 3 Months &amp; 8 Years</t>
  </si>
  <si>
    <t>Original Price</t>
  </si>
  <si>
    <t>Selling price</t>
  </si>
  <si>
    <t>10% DP &amp; 8 Years</t>
  </si>
  <si>
    <t>7.5% DP &amp; 7.5% After 3 Months &amp; 8 Years</t>
  </si>
  <si>
    <t>10% DP &amp; 10% After 3 Months &amp; 8 Years</t>
  </si>
  <si>
    <t>12.5% DP &amp; 12.5% After 3 Months &amp; 8 Years</t>
  </si>
  <si>
    <t>15% DP &amp; 15% After 3 Months &amp; 8 Years</t>
  </si>
  <si>
    <t>17.5% DP &amp; 17.5% After 3 Months &amp; 8 Years</t>
  </si>
  <si>
    <t>20% DP &amp; 20% After 3 Months &amp; 8 Years</t>
  </si>
  <si>
    <t>22.5% DP &amp; 22.5% After 3 Months &amp; 8 Years</t>
  </si>
  <si>
    <t>2,3</t>
  </si>
  <si>
    <t>25% DP &amp; 25% After 3 Months No Years</t>
  </si>
  <si>
    <t>YOUD EL BAHR</t>
  </si>
  <si>
    <t>Setting</t>
  </si>
  <si>
    <t>Value</t>
  </si>
  <si>
    <t>Company Name</t>
  </si>
  <si>
    <t>Alahly Sabbour</t>
  </si>
  <si>
    <t>Currency</t>
  </si>
  <si>
    <t>How to fill the Projects sheet</t>
  </si>
  <si>
    <t>EGP</t>
  </si>
  <si>
    <t/>
  </si>
  <si>
    <t>Each row is ONE payment plan. Rows with a blank Project cell belong to the project above them.</t>
  </si>
  <si>
    <t>كل صف = نظام سداد واحد. لو خلية المشروع فاضية، الصف بيتبع المشروع اللي فوقه.</t>
  </si>
  <si>
    <t>All % columns are plain numbers in percent units: 10 means 10%, 0.99 means 0.99%.</t>
  </si>
  <si>
    <t>أعمدة النسب أرقام عادية: 10 يعني 10%، و 0.99 يعني 0.99%.</t>
  </si>
  <si>
    <t>Cells formatted as % in Excel (showing "10%") are also understood correctly.</t>
  </si>
  <si>
    <t>ولو نسّقت الخلية كنسبة مئوية في إكسل، هتتفهم صح برضه.</t>
  </si>
  <si>
    <t>Column</t>
  </si>
  <si>
    <t>Meaning / المعنى</t>
  </si>
  <si>
    <t>Project name. Leave blank to repeat the project above. / اسم المشروع — سيبها فاضية لتكرار اللي فوق</t>
  </si>
  <si>
    <t>Plan label shown in the dropdown, e.g. "8 Years" or "Cash" / اسم نظام السداد</t>
  </si>
  <si>
    <t>Plan length in years, 0 for cash (informational) / مدة النظام بالسنين</t>
  </si>
  <si>
    <t>Discount off the system price; negative = premium / نسبة الخصم من سعر النظام</t>
  </si>
  <si>
    <t>First down payment, % of selling price, due at contract date / المقدم الأول</t>
  </si>
  <si>
    <t>Second down payment, 0 if none / المقدم الثاني</t>
  </si>
  <si>
    <t>When DP2 is due, months after contract / استحقاق المقدم الثاني بعد كام شهر</t>
  </si>
  <si>
    <t>Number of equal installments / عدد الأقساط</t>
  </si>
  <si>
    <t>3 = quarterly, 1 = monthly / الفترة بين الأقساط بالشهور</t>
  </si>
  <si>
    <t>When installment 1 is due, months after contract / استحقاق أول قسط</t>
  </si>
  <si>
    <t>Admin Fee %</t>
  </si>
  <si>
    <t>% of system price, paid upfront / رسوم إدارية</t>
  </si>
  <si>
    <t>Operations Fee %</t>
  </si>
  <si>
    <t>% of system price, paid upfront / رسوم تشغيل</t>
  </si>
  <si>
    <t>% of system price, due at delivery / وديعة الصيانة</t>
  </si>
  <si>
    <t>Months from contract to delivery / الاستلام بعد كام شهر</t>
  </si>
  <si>
    <t>After editing: save the file, then refresh the page in the browser.</t>
  </si>
  <si>
    <t>بعد التعديل: احفظ الملف واعمل refresh للصفحة.</t>
  </si>
  <si>
    <t>RTM</t>
  </si>
  <si>
    <t>10% DP over 2 years</t>
  </si>
  <si>
    <t>15% DP over 3 years</t>
  </si>
  <si>
    <t>20% DP over 4 years</t>
  </si>
  <si>
    <t>25% DP over 5 years</t>
  </si>
  <si>
    <t>30% DP over 6 years</t>
  </si>
  <si>
    <t>35% DP over 7 years</t>
  </si>
  <si>
    <t>40% DP over 8 years</t>
  </si>
  <si>
    <t>Cash discount 15%</t>
  </si>
  <si>
    <t>Delivery 1 Year</t>
  </si>
  <si>
    <t>10% DP over 4 years</t>
  </si>
  <si>
    <t>7.5% DP &amp; 7.5% After 3 months over 5 years</t>
  </si>
  <si>
    <t>10% DP &amp; 10% After 3 months over 6 years</t>
  </si>
  <si>
    <t xml:space="preserve">12.5% DP &amp; 12.5% After 3 months over 7 years </t>
  </si>
  <si>
    <t xml:space="preserve">15% DP &amp; 15% After 3 months over 8 years </t>
  </si>
  <si>
    <t>17.5% DP &amp; 17.5% After 3 months over 9 years</t>
  </si>
  <si>
    <t>20% DP &amp; 20% After 3 months over 10 years</t>
  </si>
  <si>
    <t>The Mornings_Everyday</t>
  </si>
  <si>
    <t>Core &amp; Shell</t>
  </si>
  <si>
    <t>Cash</t>
  </si>
  <si>
    <t>5% &amp; 5% &amp; 8 years</t>
  </si>
  <si>
    <t>5% &amp; 5% &amp; 7 years</t>
  </si>
  <si>
    <t>5% &amp; 5% &amp; 6 years</t>
  </si>
  <si>
    <t>5% &amp; 5% &amp; 5 years</t>
  </si>
  <si>
    <t>Finished</t>
  </si>
  <si>
    <t>At-East</t>
  </si>
  <si>
    <t>KEEVA</t>
  </si>
  <si>
    <t>GAIA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</si>
</sst>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_-;\-* #,##0_-;_-* &quot;-&quot;??_-;_-@"/>
  </numFmts>
  <fonts count="3">
    <font>
      <sz val="12.0"/>
      <color theme="1"/>
      <name val="Calibri"/>
      <scheme val="minor"/>
    </font>
    <font>
      <color theme="1"/>
      <name val="Calibri"/>
      <scheme val="minor"/>
    </font>
    <font>
      <sz val="12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21.22"/>
    <col customWidth="1" min="2" max="4" width="20.78"/>
    <col customWidth="1" min="5" max="5" width="38.11"/>
    <col customWidth="1" min="6" max="6" width="7.78"/>
    <col customWidth="1" min="7" max="7" width="11.78"/>
    <col customWidth="1" min="8" max="8" width="18.22"/>
    <col customWidth="1" min="9" max="11" width="17.78"/>
    <col customWidth="1" min="12" max="12" width="18.78"/>
    <col customWidth="1" min="13" max="13" width="24.78"/>
    <col customWidth="1" min="14" max="14" width="27.78"/>
    <col customWidth="1" min="15" max="15" width="14.78"/>
    <col customWidth="1" min="16" max="16" width="17.78"/>
    <col customWidth="1" min="17" max="17" width="38.56"/>
    <col customWidth="1" min="18" max="18" width="40.67"/>
    <col customWidth="1" min="19" max="19" width="23.78"/>
    <col customWidth="1" min="20" max="20" width="24.44"/>
    <col customWidth="1" min="21" max="26" width="8.56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12</v>
      </c>
      <c r="T1" s="1" t="s">
        <v>18</v>
      </c>
    </row>
    <row r="2">
      <c r="A2" s="1" t="s">
        <v>19</v>
      </c>
      <c r="B2" s="2" t="s">
        <v>19</v>
      </c>
      <c r="E2" s="1" t="s">
        <v>20</v>
      </c>
      <c r="F2" s="1">
        <v>8.0</v>
      </c>
      <c r="G2" s="1">
        <v>0.0</v>
      </c>
      <c r="H2" s="1" t="s">
        <v>21</v>
      </c>
      <c r="I2" s="1">
        <v>5.0</v>
      </c>
      <c r="J2" s="1">
        <v>5.0</v>
      </c>
      <c r="K2" s="1">
        <v>3.0</v>
      </c>
      <c r="L2" s="1">
        <v>31.0</v>
      </c>
      <c r="M2" s="1">
        <v>3.0</v>
      </c>
      <c r="N2" s="1">
        <v>6.0</v>
      </c>
      <c r="O2" s="1">
        <v>10.0</v>
      </c>
      <c r="P2" s="1">
        <f t="shared" ref="P2:P4" si="1">4*12</f>
        <v>48</v>
      </c>
      <c r="Q2" s="1">
        <v>30.0</v>
      </c>
      <c r="R2" s="1">
        <f t="shared" ref="R2:R10" si="2">P2-6</f>
        <v>42</v>
      </c>
      <c r="S2" s="1">
        <v>6.0</v>
      </c>
      <c r="T2" s="1" t="s">
        <v>22</v>
      </c>
    </row>
    <row r="3">
      <c r="B3" s="2" t="s">
        <v>19</v>
      </c>
      <c r="E3" s="1" t="s">
        <v>23</v>
      </c>
      <c r="F3" s="1">
        <v>8.0</v>
      </c>
      <c r="G3" s="1">
        <v>10.0</v>
      </c>
      <c r="H3" s="1" t="s">
        <v>21</v>
      </c>
      <c r="I3" s="1">
        <v>10.0</v>
      </c>
      <c r="J3" s="1">
        <v>0.0</v>
      </c>
      <c r="K3" s="1">
        <v>3.0</v>
      </c>
      <c r="L3" s="1">
        <v>32.0</v>
      </c>
      <c r="M3" s="1">
        <v>3.0</v>
      </c>
      <c r="N3" s="1">
        <v>3.0</v>
      </c>
      <c r="O3" s="1">
        <v>10.0</v>
      </c>
      <c r="P3" s="1">
        <f t="shared" si="1"/>
        <v>48</v>
      </c>
      <c r="Q3" s="1">
        <v>30.0</v>
      </c>
      <c r="R3" s="1">
        <f t="shared" si="2"/>
        <v>42</v>
      </c>
      <c r="S3" s="1">
        <v>6.0</v>
      </c>
      <c r="T3" s="1" t="s">
        <v>22</v>
      </c>
    </row>
    <row r="4">
      <c r="B4" s="2" t="s">
        <v>19</v>
      </c>
      <c r="E4" s="1" t="s">
        <v>24</v>
      </c>
      <c r="F4" s="1">
        <v>8.0</v>
      </c>
      <c r="G4" s="1">
        <v>15.0</v>
      </c>
      <c r="H4" s="1" t="s">
        <v>21</v>
      </c>
      <c r="I4" s="1">
        <v>7.5</v>
      </c>
      <c r="J4" s="1">
        <v>7.5</v>
      </c>
      <c r="K4" s="1">
        <v>3.0</v>
      </c>
      <c r="L4" s="1">
        <v>31.0</v>
      </c>
      <c r="M4" s="1">
        <v>3.0</v>
      </c>
      <c r="N4" s="1">
        <v>6.0</v>
      </c>
      <c r="O4" s="1">
        <v>10.0</v>
      </c>
      <c r="P4" s="1">
        <f t="shared" si="1"/>
        <v>48</v>
      </c>
      <c r="Q4" s="1">
        <v>30.0</v>
      </c>
      <c r="R4" s="1">
        <f t="shared" si="2"/>
        <v>42</v>
      </c>
      <c r="S4" s="1">
        <v>6.0</v>
      </c>
      <c r="T4" s="1" t="s">
        <v>22</v>
      </c>
    </row>
    <row r="5">
      <c r="B5" s="2" t="s">
        <v>19</v>
      </c>
      <c r="E5" s="1" t="s">
        <v>25</v>
      </c>
      <c r="F5" s="1">
        <v>8.0</v>
      </c>
      <c r="G5" s="1">
        <v>20.0</v>
      </c>
      <c r="H5" s="1" t="s">
        <v>21</v>
      </c>
      <c r="I5" s="1">
        <v>10.0</v>
      </c>
      <c r="J5" s="1">
        <v>10.0</v>
      </c>
      <c r="K5" s="1">
        <v>3.0</v>
      </c>
      <c r="L5" s="1">
        <v>31.0</v>
      </c>
      <c r="M5" s="1">
        <v>3.0</v>
      </c>
      <c r="N5" s="1">
        <v>6.0</v>
      </c>
      <c r="O5" s="1">
        <v>10.0</v>
      </c>
      <c r="P5" s="2">
        <v>36.0</v>
      </c>
      <c r="Q5" s="2">
        <v>18.0</v>
      </c>
      <c r="R5" s="1">
        <f t="shared" si="2"/>
        <v>30</v>
      </c>
      <c r="S5" s="1">
        <v>6.0</v>
      </c>
      <c r="T5" s="1" t="s">
        <v>22</v>
      </c>
    </row>
    <row r="6">
      <c r="B6" s="2" t="s">
        <v>19</v>
      </c>
      <c r="E6" s="1" t="s">
        <v>26</v>
      </c>
      <c r="F6" s="1">
        <v>8.0</v>
      </c>
      <c r="G6" s="1">
        <v>25.0</v>
      </c>
      <c r="H6" s="1" t="s">
        <v>21</v>
      </c>
      <c r="I6" s="1">
        <v>12.5</v>
      </c>
      <c r="J6" s="1">
        <v>12.5</v>
      </c>
      <c r="K6" s="1">
        <v>3.0</v>
      </c>
      <c r="L6" s="1">
        <v>31.0</v>
      </c>
      <c r="M6" s="1">
        <v>3.0</v>
      </c>
      <c r="N6" s="1">
        <v>6.0</v>
      </c>
      <c r="O6" s="1">
        <v>10.0</v>
      </c>
      <c r="P6" s="2">
        <v>36.0</v>
      </c>
      <c r="Q6" s="2">
        <v>18.0</v>
      </c>
      <c r="R6" s="1">
        <f t="shared" si="2"/>
        <v>30</v>
      </c>
      <c r="S6" s="1">
        <v>6.0</v>
      </c>
      <c r="T6" s="1" t="s">
        <v>22</v>
      </c>
    </row>
    <row r="7">
      <c r="B7" s="2" t="s">
        <v>19</v>
      </c>
      <c r="E7" s="1" t="s">
        <v>27</v>
      </c>
      <c r="F7" s="1">
        <v>8.0</v>
      </c>
      <c r="G7" s="1">
        <v>30.0</v>
      </c>
      <c r="H7" s="1" t="s">
        <v>21</v>
      </c>
      <c r="I7" s="1">
        <v>15.0</v>
      </c>
      <c r="J7" s="1">
        <v>15.0</v>
      </c>
      <c r="K7" s="1">
        <v>3.0</v>
      </c>
      <c r="L7" s="1">
        <v>31.0</v>
      </c>
      <c r="M7" s="1">
        <v>3.0</v>
      </c>
      <c r="N7" s="1">
        <v>6.0</v>
      </c>
      <c r="O7" s="1">
        <v>10.0</v>
      </c>
      <c r="P7" s="2">
        <v>36.0</v>
      </c>
      <c r="Q7" s="2">
        <v>18.0</v>
      </c>
      <c r="R7" s="1">
        <f t="shared" si="2"/>
        <v>30</v>
      </c>
      <c r="S7" s="1">
        <v>6.0</v>
      </c>
      <c r="T7" s="1" t="s">
        <v>22</v>
      </c>
    </row>
    <row r="8">
      <c r="B8" s="2" t="s">
        <v>19</v>
      </c>
      <c r="E8" s="1" t="s">
        <v>28</v>
      </c>
      <c r="F8" s="1">
        <v>8.0</v>
      </c>
      <c r="G8" s="1">
        <v>35.0</v>
      </c>
      <c r="H8" s="1" t="s">
        <v>21</v>
      </c>
      <c r="I8" s="1">
        <v>17.5</v>
      </c>
      <c r="J8" s="1">
        <v>17.5</v>
      </c>
      <c r="K8" s="1">
        <v>3.0</v>
      </c>
      <c r="L8" s="1">
        <v>31.0</v>
      </c>
      <c r="M8" s="1">
        <v>3.0</v>
      </c>
      <c r="N8" s="1">
        <v>6.0</v>
      </c>
      <c r="O8" s="1">
        <v>10.0</v>
      </c>
      <c r="P8" s="2">
        <v>36.0</v>
      </c>
      <c r="Q8" s="2">
        <v>18.0</v>
      </c>
      <c r="R8" s="1">
        <f t="shared" si="2"/>
        <v>30</v>
      </c>
      <c r="S8" s="1">
        <v>6.0</v>
      </c>
      <c r="T8" s="1" t="s">
        <v>22</v>
      </c>
    </row>
    <row r="9">
      <c r="B9" s="2" t="s">
        <v>19</v>
      </c>
      <c r="E9" s="1" t="s">
        <v>29</v>
      </c>
      <c r="F9" s="1">
        <v>8.0</v>
      </c>
      <c r="G9" s="1">
        <v>40.0</v>
      </c>
      <c r="H9" s="1" t="s">
        <v>21</v>
      </c>
      <c r="I9" s="1">
        <v>20.0</v>
      </c>
      <c r="J9" s="1">
        <v>20.0</v>
      </c>
      <c r="K9" s="1">
        <v>3.0</v>
      </c>
      <c r="L9" s="1">
        <v>31.0</v>
      </c>
      <c r="M9" s="1">
        <v>3.0</v>
      </c>
      <c r="N9" s="1">
        <v>6.0</v>
      </c>
      <c r="O9" s="1">
        <v>10.0</v>
      </c>
      <c r="P9" s="2">
        <v>36.0</v>
      </c>
      <c r="Q9" s="2">
        <v>18.0</v>
      </c>
      <c r="R9" s="1">
        <f t="shared" si="2"/>
        <v>30</v>
      </c>
      <c r="S9" s="1">
        <v>6.0</v>
      </c>
      <c r="T9" s="1" t="s">
        <v>22</v>
      </c>
    </row>
    <row r="10">
      <c r="B10" s="2" t="s">
        <v>19</v>
      </c>
      <c r="E10" s="1" t="s">
        <v>30</v>
      </c>
      <c r="F10" s="1">
        <v>8.0</v>
      </c>
      <c r="G10" s="1">
        <v>45.0</v>
      </c>
      <c r="H10" s="1" t="s">
        <v>21</v>
      </c>
      <c r="I10" s="1">
        <v>22.5</v>
      </c>
      <c r="J10" s="1">
        <v>22.5</v>
      </c>
      <c r="K10" s="1">
        <v>3.0</v>
      </c>
      <c r="L10" s="1">
        <v>31.0</v>
      </c>
      <c r="M10" s="1">
        <v>3.0</v>
      </c>
      <c r="N10" s="1">
        <v>6.0</v>
      </c>
      <c r="O10" s="1">
        <v>10.0</v>
      </c>
      <c r="P10" s="2">
        <v>36.0</v>
      </c>
      <c r="Q10" s="2">
        <v>18.0</v>
      </c>
      <c r="R10" s="1">
        <f t="shared" si="2"/>
        <v>30</v>
      </c>
      <c r="S10" s="1">
        <v>6.0</v>
      </c>
      <c r="T10" s="1" t="s">
        <v>22</v>
      </c>
    </row>
    <row r="11">
      <c r="B11" s="2" t="s">
        <v>19</v>
      </c>
      <c r="D11" s="1" t="s">
        <v>31</v>
      </c>
      <c r="E11" s="1" t="s">
        <v>32</v>
      </c>
      <c r="F11" s="1">
        <v>0.0</v>
      </c>
      <c r="G11" s="1">
        <v>50.0</v>
      </c>
      <c r="H11" s="1" t="s">
        <v>21</v>
      </c>
      <c r="I11" s="1">
        <v>25.0</v>
      </c>
      <c r="J11" s="1">
        <v>25.0</v>
      </c>
      <c r="K11" s="1">
        <v>3.0</v>
      </c>
      <c r="L11" s="1">
        <v>1.0</v>
      </c>
      <c r="M11" s="1">
        <v>3.0</v>
      </c>
      <c r="N11" s="1">
        <v>6.0</v>
      </c>
      <c r="O11" s="1">
        <v>10.0</v>
      </c>
      <c r="P11" s="1">
        <v>24.0</v>
      </c>
      <c r="Q11" s="2">
        <v>6.0</v>
      </c>
      <c r="R11" s="2">
        <v>18.0</v>
      </c>
      <c r="S11" s="1">
        <v>6.0</v>
      </c>
      <c r="T11" s="1" t="s">
        <v>22</v>
      </c>
    </row>
    <row r="12">
      <c r="B12" s="2" t="s">
        <v>19</v>
      </c>
      <c r="D12" s="2">
        <v>4.0</v>
      </c>
      <c r="E12" s="1" t="s">
        <v>32</v>
      </c>
      <c r="F12" s="1">
        <v>0.0</v>
      </c>
      <c r="G12" s="1">
        <v>50.0</v>
      </c>
      <c r="H12" s="1" t="s">
        <v>21</v>
      </c>
      <c r="I12" s="1">
        <v>25.0</v>
      </c>
      <c r="J12" s="1">
        <v>25.0</v>
      </c>
      <c r="K12" s="1">
        <v>3.0</v>
      </c>
      <c r="L12" s="1">
        <v>1.0</v>
      </c>
      <c r="M12" s="1">
        <v>3.0</v>
      </c>
      <c r="N12" s="1">
        <v>6.0</v>
      </c>
      <c r="O12" s="1">
        <v>10.0</v>
      </c>
      <c r="P12" s="1">
        <v>36.0</v>
      </c>
      <c r="Q12" s="1">
        <v>18.0</v>
      </c>
      <c r="R12" s="1">
        <f t="shared" ref="R12:R22" si="3">P12-6</f>
        <v>30</v>
      </c>
      <c r="S12" s="1">
        <v>6.0</v>
      </c>
      <c r="T12" s="1" t="s">
        <v>22</v>
      </c>
    </row>
    <row r="13">
      <c r="B13" s="2" t="s">
        <v>33</v>
      </c>
      <c r="E13" s="1" t="s">
        <v>20</v>
      </c>
      <c r="F13" s="1">
        <v>8.0</v>
      </c>
      <c r="G13" s="1">
        <v>0.0</v>
      </c>
      <c r="H13" s="1" t="s">
        <v>21</v>
      </c>
      <c r="I13" s="1">
        <v>5.0</v>
      </c>
      <c r="J13" s="1">
        <v>5.0</v>
      </c>
      <c r="K13" s="1">
        <v>3.0</v>
      </c>
      <c r="L13" s="1">
        <v>31.0</v>
      </c>
      <c r="M13" s="1">
        <v>3.0</v>
      </c>
      <c r="N13" s="1">
        <v>6.0</v>
      </c>
      <c r="O13" s="1">
        <v>10.0</v>
      </c>
      <c r="P13" s="1">
        <f t="shared" ref="P13:P22" si="4">4*12</f>
        <v>48</v>
      </c>
      <c r="Q13" s="1">
        <v>30.0</v>
      </c>
      <c r="R13" s="1">
        <f t="shared" si="3"/>
        <v>42</v>
      </c>
      <c r="S13" s="1">
        <v>6.0</v>
      </c>
      <c r="T13" s="1" t="s">
        <v>22</v>
      </c>
    </row>
    <row r="14">
      <c r="B14" s="2" t="s">
        <v>33</v>
      </c>
      <c r="E14" s="1" t="s">
        <v>23</v>
      </c>
      <c r="F14" s="1">
        <v>8.0</v>
      </c>
      <c r="G14" s="1">
        <v>10.0</v>
      </c>
      <c r="H14" s="1" t="s">
        <v>21</v>
      </c>
      <c r="I14" s="1">
        <v>10.0</v>
      </c>
      <c r="J14" s="1">
        <v>0.0</v>
      </c>
      <c r="K14" s="1">
        <v>3.0</v>
      </c>
      <c r="L14" s="1">
        <v>32.0</v>
      </c>
      <c r="M14" s="1">
        <v>3.0</v>
      </c>
      <c r="N14" s="1">
        <v>3.0</v>
      </c>
      <c r="O14" s="1">
        <v>10.0</v>
      </c>
      <c r="P14" s="1">
        <f t="shared" si="4"/>
        <v>48</v>
      </c>
      <c r="Q14" s="1">
        <v>30.0</v>
      </c>
      <c r="R14" s="1">
        <f t="shared" si="3"/>
        <v>42</v>
      </c>
      <c r="S14" s="1">
        <v>6.0</v>
      </c>
      <c r="T14" s="1" t="s">
        <v>22</v>
      </c>
    </row>
    <row r="15">
      <c r="B15" s="2" t="s">
        <v>33</v>
      </c>
      <c r="E15" s="1" t="s">
        <v>24</v>
      </c>
      <c r="F15" s="1">
        <v>8.0</v>
      </c>
      <c r="G15" s="1">
        <v>15.0</v>
      </c>
      <c r="H15" s="1" t="s">
        <v>21</v>
      </c>
      <c r="I15" s="1">
        <v>7.5</v>
      </c>
      <c r="J15" s="1">
        <v>7.5</v>
      </c>
      <c r="K15" s="1">
        <v>3.0</v>
      </c>
      <c r="L15" s="1">
        <v>31.0</v>
      </c>
      <c r="M15" s="1">
        <v>3.0</v>
      </c>
      <c r="N15" s="1">
        <v>6.0</v>
      </c>
      <c r="O15" s="1">
        <v>10.0</v>
      </c>
      <c r="P15" s="1">
        <f t="shared" si="4"/>
        <v>48</v>
      </c>
      <c r="Q15" s="1">
        <v>30.0</v>
      </c>
      <c r="R15" s="1">
        <f t="shared" si="3"/>
        <v>42</v>
      </c>
      <c r="S15" s="1">
        <v>6.0</v>
      </c>
      <c r="T15" s="1" t="s">
        <v>22</v>
      </c>
    </row>
    <row r="16">
      <c r="B16" s="2" t="s">
        <v>33</v>
      </c>
      <c r="E16" s="1" t="s">
        <v>25</v>
      </c>
      <c r="F16" s="1">
        <v>8.0</v>
      </c>
      <c r="G16" s="1">
        <v>20.0</v>
      </c>
      <c r="H16" s="1" t="s">
        <v>21</v>
      </c>
      <c r="I16" s="1">
        <v>10.0</v>
      </c>
      <c r="J16" s="1">
        <v>10.0</v>
      </c>
      <c r="K16" s="1">
        <v>3.0</v>
      </c>
      <c r="L16" s="1">
        <v>31.0</v>
      </c>
      <c r="M16" s="1">
        <v>3.0</v>
      </c>
      <c r="N16" s="1">
        <v>6.0</v>
      </c>
      <c r="O16" s="1">
        <v>10.0</v>
      </c>
      <c r="P16" s="1">
        <f t="shared" si="4"/>
        <v>48</v>
      </c>
      <c r="Q16" s="1">
        <v>30.0</v>
      </c>
      <c r="R16" s="1">
        <f t="shared" si="3"/>
        <v>42</v>
      </c>
      <c r="S16" s="1">
        <v>6.0</v>
      </c>
      <c r="T16" s="1" t="s">
        <v>22</v>
      </c>
    </row>
    <row r="17">
      <c r="B17" s="2" t="s">
        <v>33</v>
      </c>
      <c r="E17" s="1" t="s">
        <v>26</v>
      </c>
      <c r="F17" s="1">
        <v>8.0</v>
      </c>
      <c r="G17" s="1">
        <v>25.0</v>
      </c>
      <c r="H17" s="1" t="s">
        <v>21</v>
      </c>
      <c r="I17" s="1">
        <v>12.5</v>
      </c>
      <c r="J17" s="1">
        <v>12.5</v>
      </c>
      <c r="K17" s="1">
        <v>3.0</v>
      </c>
      <c r="L17" s="1">
        <v>31.0</v>
      </c>
      <c r="M17" s="1">
        <v>3.0</v>
      </c>
      <c r="N17" s="1">
        <v>6.0</v>
      </c>
      <c r="O17" s="1">
        <v>10.0</v>
      </c>
      <c r="P17" s="1">
        <f t="shared" si="4"/>
        <v>48</v>
      </c>
      <c r="Q17" s="1">
        <v>30.0</v>
      </c>
      <c r="R17" s="1">
        <f t="shared" si="3"/>
        <v>42</v>
      </c>
      <c r="S17" s="1">
        <v>6.0</v>
      </c>
      <c r="T17" s="1" t="s">
        <v>22</v>
      </c>
    </row>
    <row r="18">
      <c r="B18" s="2" t="s">
        <v>33</v>
      </c>
      <c r="E18" s="1" t="s">
        <v>27</v>
      </c>
      <c r="F18" s="1">
        <v>8.0</v>
      </c>
      <c r="G18" s="1">
        <v>30.0</v>
      </c>
      <c r="H18" s="1" t="s">
        <v>21</v>
      </c>
      <c r="I18" s="1">
        <v>15.0</v>
      </c>
      <c r="J18" s="1">
        <v>15.0</v>
      </c>
      <c r="K18" s="1">
        <v>3.0</v>
      </c>
      <c r="L18" s="1">
        <v>31.0</v>
      </c>
      <c r="M18" s="1">
        <v>3.0</v>
      </c>
      <c r="N18" s="1">
        <v>6.0</v>
      </c>
      <c r="O18" s="1">
        <v>10.0</v>
      </c>
      <c r="P18" s="1">
        <f t="shared" si="4"/>
        <v>48</v>
      </c>
      <c r="Q18" s="1">
        <v>30.0</v>
      </c>
      <c r="R18" s="1">
        <f t="shared" si="3"/>
        <v>42</v>
      </c>
      <c r="S18" s="1">
        <v>6.0</v>
      </c>
      <c r="T18" s="1" t="s">
        <v>22</v>
      </c>
    </row>
    <row r="19">
      <c r="B19" s="2" t="s">
        <v>33</v>
      </c>
      <c r="E19" s="1" t="s">
        <v>28</v>
      </c>
      <c r="F19" s="1">
        <v>8.0</v>
      </c>
      <c r="G19" s="1">
        <v>35.0</v>
      </c>
      <c r="H19" s="1" t="s">
        <v>21</v>
      </c>
      <c r="I19" s="1">
        <v>17.5</v>
      </c>
      <c r="J19" s="1">
        <v>17.5</v>
      </c>
      <c r="K19" s="1">
        <v>3.0</v>
      </c>
      <c r="L19" s="1">
        <v>31.0</v>
      </c>
      <c r="M19" s="1">
        <v>3.0</v>
      </c>
      <c r="N19" s="1">
        <v>6.0</v>
      </c>
      <c r="O19" s="1">
        <v>10.0</v>
      </c>
      <c r="P19" s="1">
        <f t="shared" si="4"/>
        <v>48</v>
      </c>
      <c r="Q19" s="1">
        <v>30.0</v>
      </c>
      <c r="R19" s="1">
        <f t="shared" si="3"/>
        <v>42</v>
      </c>
      <c r="S19" s="1">
        <v>6.0</v>
      </c>
      <c r="T19" s="1" t="s">
        <v>22</v>
      </c>
    </row>
    <row r="20">
      <c r="B20" s="2" t="s">
        <v>33</v>
      </c>
      <c r="E20" s="1" t="s">
        <v>29</v>
      </c>
      <c r="F20" s="1">
        <v>8.0</v>
      </c>
      <c r="G20" s="1">
        <v>40.0</v>
      </c>
      <c r="H20" s="1" t="s">
        <v>21</v>
      </c>
      <c r="I20" s="1">
        <v>20.0</v>
      </c>
      <c r="J20" s="1">
        <v>20.0</v>
      </c>
      <c r="K20" s="1">
        <v>3.0</v>
      </c>
      <c r="L20" s="1">
        <v>31.0</v>
      </c>
      <c r="M20" s="1">
        <v>3.0</v>
      </c>
      <c r="N20" s="1">
        <v>6.0</v>
      </c>
      <c r="O20" s="1">
        <v>10.0</v>
      </c>
      <c r="P20" s="1">
        <f t="shared" si="4"/>
        <v>48</v>
      </c>
      <c r="Q20" s="1">
        <v>30.0</v>
      </c>
      <c r="R20" s="1">
        <f t="shared" si="3"/>
        <v>42</v>
      </c>
      <c r="S20" s="1">
        <v>6.0</v>
      </c>
      <c r="T20" s="1" t="s">
        <v>22</v>
      </c>
    </row>
    <row r="21">
      <c r="B21" s="2" t="s">
        <v>33</v>
      </c>
      <c r="E21" s="1" t="s">
        <v>30</v>
      </c>
      <c r="F21" s="1">
        <v>8.0</v>
      </c>
      <c r="G21" s="1">
        <v>45.0</v>
      </c>
      <c r="H21" s="1" t="s">
        <v>21</v>
      </c>
      <c r="I21" s="1">
        <v>22.5</v>
      </c>
      <c r="J21" s="1">
        <v>22.5</v>
      </c>
      <c r="K21" s="1">
        <v>3.0</v>
      </c>
      <c r="L21" s="1">
        <v>31.0</v>
      </c>
      <c r="M21" s="1">
        <v>3.0</v>
      </c>
      <c r="N21" s="1">
        <v>6.0</v>
      </c>
      <c r="O21" s="1">
        <v>10.0</v>
      </c>
      <c r="P21" s="1">
        <f t="shared" si="4"/>
        <v>48</v>
      </c>
      <c r="Q21" s="1">
        <v>30.0</v>
      </c>
      <c r="R21" s="1">
        <f t="shared" si="3"/>
        <v>42</v>
      </c>
      <c r="S21" s="1">
        <v>6.0</v>
      </c>
      <c r="T21" s="1" t="s">
        <v>22</v>
      </c>
    </row>
    <row r="22">
      <c r="B22" s="2" t="s">
        <v>33</v>
      </c>
      <c r="E22" s="1" t="s">
        <v>32</v>
      </c>
      <c r="F22" s="1">
        <v>0.0</v>
      </c>
      <c r="G22" s="1">
        <v>50.0</v>
      </c>
      <c r="H22" s="1" t="s">
        <v>21</v>
      </c>
      <c r="I22" s="1">
        <v>25.0</v>
      </c>
      <c r="J22" s="1">
        <v>25.0</v>
      </c>
      <c r="K22" s="1">
        <v>3.0</v>
      </c>
      <c r="L22" s="1">
        <v>1.0</v>
      </c>
      <c r="M22" s="1">
        <v>3.0</v>
      </c>
      <c r="N22" s="1">
        <v>6.0</v>
      </c>
      <c r="O22" s="1">
        <v>10.0</v>
      </c>
      <c r="P22" s="1">
        <f t="shared" si="4"/>
        <v>48</v>
      </c>
      <c r="Q22" s="1">
        <v>30.0</v>
      </c>
      <c r="R22" s="1">
        <f t="shared" si="3"/>
        <v>42</v>
      </c>
      <c r="S22" s="1">
        <v>6.0</v>
      </c>
      <c r="T22" s="1" t="s">
        <v>22</v>
      </c>
    </row>
    <row r="23">
      <c r="B23" s="1" t="s">
        <v>68</v>
      </c>
      <c r="E23" s="1" t="s">
        <v>69</v>
      </c>
      <c r="F23" s="1">
        <v>2.0</v>
      </c>
      <c r="G23" s="1">
        <v>0.0</v>
      </c>
      <c r="H23" s="1" t="s">
        <v>21</v>
      </c>
      <c r="I23" s="1">
        <v>10.0</v>
      </c>
      <c r="J23" s="1">
        <v>0.0</v>
      </c>
      <c r="K23" s="1">
        <v>0.0</v>
      </c>
      <c r="L23" s="1">
        <v>8.0</v>
      </c>
      <c r="M23" s="1">
        <v>3.0</v>
      </c>
      <c r="N23" s="1">
        <v>3.0</v>
      </c>
      <c r="O23" s="1">
        <v>10.0</v>
      </c>
      <c r="P23" s="1">
        <v>0.0</v>
      </c>
      <c r="Q23" s="1">
        <v>0.0</v>
      </c>
      <c r="R23" s="1">
        <v>9.0</v>
      </c>
      <c r="S23" s="1">
        <v>3.0</v>
      </c>
      <c r="T23" s="1" t="s">
        <v>22</v>
      </c>
    </row>
    <row r="24">
      <c r="B24" s="1" t="s">
        <v>68</v>
      </c>
      <c r="E24" s="2" t="s">
        <v>70</v>
      </c>
      <c r="F24" s="1">
        <v>3.0</v>
      </c>
      <c r="G24" s="1">
        <v>0.0</v>
      </c>
      <c r="H24" s="1" t="s">
        <v>21</v>
      </c>
      <c r="I24" s="2">
        <v>15.0</v>
      </c>
      <c r="J24" s="2">
        <v>0.0</v>
      </c>
      <c r="K24" s="2">
        <v>0.0</v>
      </c>
      <c r="L24" s="2">
        <v>12.0</v>
      </c>
      <c r="M24" s="1">
        <v>3.0</v>
      </c>
      <c r="N24" s="2">
        <v>3.0</v>
      </c>
      <c r="O24" s="1">
        <v>10.0</v>
      </c>
      <c r="P24" s="1">
        <v>0.0</v>
      </c>
      <c r="Q24" s="1">
        <v>0.0</v>
      </c>
      <c r="R24" s="1">
        <v>9.0</v>
      </c>
      <c r="S24" s="1">
        <v>3.0</v>
      </c>
      <c r="T24" s="1" t="s">
        <v>22</v>
      </c>
    </row>
    <row r="25">
      <c r="B25" s="1" t="s">
        <v>68</v>
      </c>
      <c r="E25" s="2" t="s">
        <v>71</v>
      </c>
      <c r="F25" s="1">
        <v>4.0</v>
      </c>
      <c r="G25" s="1">
        <v>0.0</v>
      </c>
      <c r="H25" s="1" t="s">
        <v>21</v>
      </c>
      <c r="I25" s="2">
        <v>20.0</v>
      </c>
      <c r="J25" s="2">
        <v>0.0</v>
      </c>
      <c r="K25" s="2">
        <v>0.0</v>
      </c>
      <c r="L25" s="2">
        <v>16.0</v>
      </c>
      <c r="M25" s="1">
        <v>3.0</v>
      </c>
      <c r="N25" s="2">
        <v>3.0</v>
      </c>
      <c r="O25" s="1">
        <v>10.0</v>
      </c>
      <c r="P25" s="1">
        <v>0.0</v>
      </c>
      <c r="Q25" s="1">
        <v>0.0</v>
      </c>
      <c r="R25" s="1">
        <v>9.0</v>
      </c>
      <c r="S25" s="1">
        <v>3.0</v>
      </c>
      <c r="T25" s="1" t="s">
        <v>22</v>
      </c>
    </row>
    <row r="26">
      <c r="B26" s="1" t="s">
        <v>68</v>
      </c>
      <c r="E26" s="2" t="s">
        <v>72</v>
      </c>
      <c r="F26" s="1">
        <v>5.0</v>
      </c>
      <c r="G26" s="1">
        <v>0.0</v>
      </c>
      <c r="H26" s="1" t="s">
        <v>21</v>
      </c>
      <c r="I26" s="2">
        <v>25.0</v>
      </c>
      <c r="J26" s="2">
        <v>0.0</v>
      </c>
      <c r="K26" s="2">
        <v>0.0</v>
      </c>
      <c r="L26" s="2">
        <v>20.0</v>
      </c>
      <c r="M26" s="1">
        <v>3.0</v>
      </c>
      <c r="N26" s="2">
        <v>3.0</v>
      </c>
      <c r="O26" s="1">
        <v>10.0</v>
      </c>
      <c r="P26" s="1">
        <v>0.0</v>
      </c>
      <c r="Q26" s="1">
        <v>0.0</v>
      </c>
      <c r="R26" s="1">
        <v>9.0</v>
      </c>
      <c r="S26" s="1">
        <v>3.0</v>
      </c>
      <c r="T26" s="1" t="s">
        <v>22</v>
      </c>
    </row>
    <row r="27">
      <c r="B27" s="1" t="s">
        <v>68</v>
      </c>
      <c r="E27" s="2" t="s">
        <v>73</v>
      </c>
      <c r="F27" s="1">
        <v>6.0</v>
      </c>
      <c r="G27" s="1">
        <v>0.0</v>
      </c>
      <c r="H27" s="1" t="s">
        <v>21</v>
      </c>
      <c r="I27" s="2">
        <v>30.0</v>
      </c>
      <c r="J27" s="2">
        <v>0.0</v>
      </c>
      <c r="K27" s="2">
        <v>0.0</v>
      </c>
      <c r="L27" s="2">
        <v>24.0</v>
      </c>
      <c r="M27" s="1">
        <v>3.0</v>
      </c>
      <c r="N27" s="2">
        <v>3.0</v>
      </c>
      <c r="O27" s="1">
        <v>10.0</v>
      </c>
      <c r="P27" s="1">
        <v>0.0</v>
      </c>
      <c r="Q27" s="1">
        <v>0.0</v>
      </c>
      <c r="R27" s="1">
        <v>9.0</v>
      </c>
      <c r="S27" s="1">
        <v>3.0</v>
      </c>
      <c r="T27" s="1" t="s">
        <v>22</v>
      </c>
    </row>
    <row r="28">
      <c r="B28" s="1" t="s">
        <v>68</v>
      </c>
      <c r="E28" s="2" t="s">
        <v>74</v>
      </c>
      <c r="F28" s="1">
        <v>7.0</v>
      </c>
      <c r="G28" s="1">
        <v>0.0</v>
      </c>
      <c r="H28" s="1" t="s">
        <v>21</v>
      </c>
      <c r="I28" s="2">
        <v>35.0</v>
      </c>
      <c r="J28" s="2">
        <v>0.0</v>
      </c>
      <c r="K28" s="2">
        <v>0.0</v>
      </c>
      <c r="L28" s="2">
        <v>28.0</v>
      </c>
      <c r="M28" s="1">
        <v>3.0</v>
      </c>
      <c r="N28" s="2">
        <v>3.0</v>
      </c>
      <c r="O28" s="1">
        <v>10.0</v>
      </c>
      <c r="P28" s="1">
        <v>0.0</v>
      </c>
      <c r="Q28" s="1">
        <v>0.0</v>
      </c>
      <c r="R28" s="1">
        <v>9.0</v>
      </c>
      <c r="S28" s="1">
        <v>3.0</v>
      </c>
      <c r="T28" s="1" t="s">
        <v>22</v>
      </c>
    </row>
    <row r="29">
      <c r="B29" s="1" t="s">
        <v>68</v>
      </c>
      <c r="E29" s="2" t="s">
        <v>75</v>
      </c>
      <c r="F29" s="1">
        <v>8.0</v>
      </c>
      <c r="G29" s="1">
        <v>0.0</v>
      </c>
      <c r="H29" s="1" t="s">
        <v>21</v>
      </c>
      <c r="I29" s="2">
        <v>40.0</v>
      </c>
      <c r="J29" s="2">
        <v>0.0</v>
      </c>
      <c r="K29" s="2">
        <v>0.0</v>
      </c>
      <c r="L29" s="2">
        <v>32.0</v>
      </c>
      <c r="M29" s="1">
        <v>3.0</v>
      </c>
      <c r="N29" s="2">
        <v>3.0</v>
      </c>
      <c r="O29" s="1">
        <v>10.0</v>
      </c>
      <c r="P29" s="1">
        <v>0.0</v>
      </c>
      <c r="Q29" s="1">
        <v>0.0</v>
      </c>
      <c r="R29" s="1">
        <v>9.0</v>
      </c>
      <c r="S29" s="1">
        <v>3.0</v>
      </c>
      <c r="T29" s="1" t="s">
        <v>22</v>
      </c>
    </row>
    <row r="30">
      <c r="B30" s="1" t="s">
        <v>68</v>
      </c>
      <c r="E30" s="1" t="s">
        <v>76</v>
      </c>
      <c r="F30" s="1">
        <v>0.0</v>
      </c>
      <c r="G30" s="1">
        <v>15.0</v>
      </c>
      <c r="H30" s="1" t="s">
        <v>22</v>
      </c>
      <c r="I30" s="1">
        <v>100.0</v>
      </c>
      <c r="J30" s="1">
        <v>0.0</v>
      </c>
      <c r="K30" s="1">
        <v>0.0</v>
      </c>
      <c r="L30" s="1">
        <v>0.0</v>
      </c>
      <c r="M30" s="1">
        <v>0.0</v>
      </c>
      <c r="N30" s="1">
        <v>0.0</v>
      </c>
      <c r="O30" s="1">
        <v>10.0</v>
      </c>
      <c r="P30" s="1">
        <v>0.0</v>
      </c>
      <c r="Q30" s="1">
        <v>0.0</v>
      </c>
      <c r="R30" s="1">
        <v>9.0</v>
      </c>
      <c r="S30" s="1">
        <v>3.0</v>
      </c>
      <c r="T30" s="1" t="s">
        <v>22</v>
      </c>
    </row>
    <row r="31">
      <c r="B31" s="2" t="s">
        <v>77</v>
      </c>
      <c r="E31" s="2" t="s">
        <v>78</v>
      </c>
      <c r="F31" s="2">
        <v>4.0</v>
      </c>
      <c r="G31" s="2">
        <v>0.0</v>
      </c>
      <c r="H31" s="1" t="s">
        <v>21</v>
      </c>
      <c r="I31" s="2">
        <v>10.0</v>
      </c>
      <c r="J31" s="2">
        <v>0.0</v>
      </c>
      <c r="K31" s="2">
        <v>0.0</v>
      </c>
      <c r="L31" s="1">
        <f>4*4</f>
        <v>16</v>
      </c>
      <c r="M31" s="2">
        <v>3.0</v>
      </c>
      <c r="N31" s="2">
        <v>3.0</v>
      </c>
      <c r="O31" s="2">
        <v>10.0</v>
      </c>
      <c r="P31" s="2">
        <v>12.0</v>
      </c>
      <c r="Q31" s="2">
        <v>6.0</v>
      </c>
      <c r="R31" s="2">
        <v>15.0</v>
      </c>
      <c r="S31" s="2">
        <v>3.0</v>
      </c>
      <c r="T31" s="1" t="s">
        <v>22</v>
      </c>
    </row>
    <row r="32">
      <c r="B32" s="2" t="s">
        <v>77</v>
      </c>
      <c r="E32" s="2" t="s">
        <v>79</v>
      </c>
      <c r="F32" s="2">
        <v>5.0</v>
      </c>
      <c r="G32" s="2">
        <v>0.0</v>
      </c>
      <c r="H32" s="1" t="s">
        <v>21</v>
      </c>
      <c r="I32" s="2">
        <v>7.5</v>
      </c>
      <c r="J32" s="2">
        <v>7.5</v>
      </c>
      <c r="K32" s="2">
        <v>3.0</v>
      </c>
      <c r="L32" s="2">
        <v>19.0</v>
      </c>
      <c r="M32" s="2">
        <v>3.0</v>
      </c>
      <c r="N32" s="2">
        <v>6.0</v>
      </c>
      <c r="O32" s="2">
        <v>10.0</v>
      </c>
      <c r="P32" s="2">
        <v>12.0</v>
      </c>
      <c r="Q32" s="2">
        <v>6.0</v>
      </c>
      <c r="R32" s="2">
        <v>15.0</v>
      </c>
      <c r="S32" s="2">
        <v>3.0</v>
      </c>
      <c r="T32" s="1" t="s">
        <v>22</v>
      </c>
    </row>
    <row r="33">
      <c r="B33" s="2" t="s">
        <v>77</v>
      </c>
      <c r="E33" s="2" t="s">
        <v>80</v>
      </c>
      <c r="F33" s="2">
        <v>6.0</v>
      </c>
      <c r="G33" s="2">
        <v>0.0</v>
      </c>
      <c r="H33" s="1" t="s">
        <v>21</v>
      </c>
      <c r="I33" s="2">
        <v>10.0</v>
      </c>
      <c r="J33" s="2">
        <v>10.0</v>
      </c>
      <c r="K33" s="2">
        <v>3.0</v>
      </c>
      <c r="L33" s="2">
        <v>23.0</v>
      </c>
      <c r="M33" s="2">
        <v>3.0</v>
      </c>
      <c r="N33" s="2">
        <v>6.0</v>
      </c>
      <c r="O33" s="2">
        <v>10.0</v>
      </c>
      <c r="P33" s="2">
        <v>12.0</v>
      </c>
      <c r="Q33" s="2">
        <v>6.0</v>
      </c>
      <c r="R33" s="2">
        <v>15.0</v>
      </c>
      <c r="S33" s="2">
        <v>3.0</v>
      </c>
      <c r="T33" s="1" t="s">
        <v>22</v>
      </c>
    </row>
    <row r="34">
      <c r="B34" s="2" t="s">
        <v>77</v>
      </c>
      <c r="E34" s="2" t="s">
        <v>81</v>
      </c>
      <c r="F34" s="2">
        <v>7.0</v>
      </c>
      <c r="G34" s="2">
        <v>0.0</v>
      </c>
      <c r="H34" s="1" t="s">
        <v>21</v>
      </c>
      <c r="I34" s="2">
        <v>12.5</v>
      </c>
      <c r="J34" s="2">
        <v>12.5</v>
      </c>
      <c r="K34" s="2">
        <v>3.0</v>
      </c>
      <c r="L34" s="2">
        <v>27.0</v>
      </c>
      <c r="M34" s="2">
        <v>3.0</v>
      </c>
      <c r="N34" s="2">
        <v>6.0</v>
      </c>
      <c r="O34" s="2">
        <v>10.0</v>
      </c>
      <c r="P34" s="2">
        <v>12.0</v>
      </c>
      <c r="Q34" s="2">
        <v>6.0</v>
      </c>
      <c r="R34" s="2">
        <v>15.0</v>
      </c>
      <c r="S34" s="2">
        <v>3.0</v>
      </c>
      <c r="T34" s="1" t="s">
        <v>22</v>
      </c>
    </row>
    <row r="35">
      <c r="B35" s="2" t="s">
        <v>77</v>
      </c>
      <c r="E35" s="2" t="s">
        <v>82</v>
      </c>
      <c r="F35" s="2">
        <v>8.0</v>
      </c>
      <c r="G35" s="2">
        <v>0.0</v>
      </c>
      <c r="H35" s="1" t="s">
        <v>21</v>
      </c>
      <c r="I35" s="2">
        <v>15.0</v>
      </c>
      <c r="J35" s="2">
        <v>15.0</v>
      </c>
      <c r="K35" s="2">
        <v>3.0</v>
      </c>
      <c r="L35" s="2">
        <v>31.0</v>
      </c>
      <c r="M35" s="2">
        <v>3.0</v>
      </c>
      <c r="N35" s="2">
        <v>6.0</v>
      </c>
      <c r="O35" s="2">
        <v>10.0</v>
      </c>
      <c r="P35" s="2">
        <v>12.0</v>
      </c>
      <c r="Q35" s="2">
        <v>6.0</v>
      </c>
      <c r="R35" s="2">
        <v>15.0</v>
      </c>
      <c r="S35" s="2">
        <v>3.0</v>
      </c>
      <c r="T35" s="1" t="s">
        <v>22</v>
      </c>
    </row>
    <row r="36">
      <c r="B36" s="2" t="s">
        <v>77</v>
      </c>
      <c r="E36" s="2" t="s">
        <v>83</v>
      </c>
      <c r="F36" s="2">
        <v>9.0</v>
      </c>
      <c r="G36" s="2">
        <v>0.0</v>
      </c>
      <c r="H36" s="1" t="s">
        <v>21</v>
      </c>
      <c r="I36" s="2">
        <v>17.5</v>
      </c>
      <c r="J36" s="2">
        <v>17.5</v>
      </c>
      <c r="K36" s="2">
        <v>3.0</v>
      </c>
      <c r="L36" s="2">
        <v>35.0</v>
      </c>
      <c r="M36" s="2">
        <v>3.0</v>
      </c>
      <c r="N36" s="2">
        <v>6.0</v>
      </c>
      <c r="O36" s="2">
        <v>10.0</v>
      </c>
      <c r="P36" s="2">
        <v>12.0</v>
      </c>
      <c r="Q36" s="2">
        <v>6.0</v>
      </c>
      <c r="R36" s="2">
        <v>15.0</v>
      </c>
      <c r="S36" s="2">
        <v>3.0</v>
      </c>
      <c r="T36" s="1" t="s">
        <v>22</v>
      </c>
    </row>
    <row r="37">
      <c r="B37" s="2" t="s">
        <v>77</v>
      </c>
      <c r="E37" s="2" t="s">
        <v>84</v>
      </c>
      <c r="F37" s="2">
        <v>10.0</v>
      </c>
      <c r="G37" s="2">
        <v>0.0</v>
      </c>
      <c r="H37" s="1" t="s">
        <v>21</v>
      </c>
      <c r="I37" s="2">
        <v>20.0</v>
      </c>
      <c r="J37" s="2">
        <v>20.0</v>
      </c>
      <c r="K37" s="2">
        <v>3.0</v>
      </c>
      <c r="L37" s="2">
        <v>39.0</v>
      </c>
      <c r="M37" s="2">
        <v>3.0</v>
      </c>
      <c r="N37" s="2">
        <v>6.0</v>
      </c>
      <c r="O37" s="2">
        <v>10.0</v>
      </c>
      <c r="P37" s="2">
        <v>12.0</v>
      </c>
      <c r="Q37" s="2">
        <v>6.0</v>
      </c>
      <c r="R37" s="2">
        <v>15.0</v>
      </c>
      <c r="S37" s="2">
        <v>3.0</v>
      </c>
      <c r="T37" s="1" t="s">
        <v>22</v>
      </c>
    </row>
    <row r="38">
      <c r="B38" s="2" t="s">
        <v>77</v>
      </c>
      <c r="E38" s="1" t="s">
        <v>76</v>
      </c>
      <c r="F38" s="2">
        <v>0.0</v>
      </c>
      <c r="G38" s="2">
        <v>15.0</v>
      </c>
      <c r="H38" s="1" t="s">
        <v>22</v>
      </c>
      <c r="I38" s="2">
        <v>100.0</v>
      </c>
      <c r="J38" s="2">
        <v>0.0</v>
      </c>
      <c r="K38" s="2">
        <v>0.0</v>
      </c>
      <c r="L38" s="2">
        <v>0.0</v>
      </c>
      <c r="M38" s="2">
        <v>0.0</v>
      </c>
      <c r="N38" s="2">
        <v>0.0</v>
      </c>
      <c r="O38" s="2">
        <v>10.0</v>
      </c>
      <c r="P38" s="2">
        <v>12.0</v>
      </c>
      <c r="Q38" s="2">
        <v>6.0</v>
      </c>
      <c r="R38" s="2">
        <v>15.0</v>
      </c>
      <c r="S38" s="2">
        <v>3.0</v>
      </c>
      <c r="T38" s="1" t="s">
        <v>22</v>
      </c>
    </row>
    <row r="39">
      <c r="A39" s="1" t="s">
        <v>85</v>
      </c>
      <c r="B39" s="1" t="s">
        <v>86</v>
      </c>
      <c r="E39" s="1" t="s">
        <v>87</v>
      </c>
      <c r="F39" s="1">
        <v>0.0</v>
      </c>
      <c r="G39" s="1">
        <v>25.0</v>
      </c>
      <c r="H39" s="1" t="s">
        <v>22</v>
      </c>
      <c r="I39" s="1">
        <v>100.0</v>
      </c>
      <c r="J39" s="1">
        <v>0.0</v>
      </c>
      <c r="K39" s="1">
        <v>0.0</v>
      </c>
      <c r="L39" s="1">
        <v>0.0</v>
      </c>
      <c r="M39" s="1">
        <v>0.0</v>
      </c>
      <c r="N39" s="1">
        <v>0.0</v>
      </c>
      <c r="O39" s="1">
        <v>10.0</v>
      </c>
      <c r="P39" s="1">
        <v>42.0</v>
      </c>
      <c r="Q39" s="1">
        <v>15.0</v>
      </c>
      <c r="R39" s="1">
        <v>39.0</v>
      </c>
      <c r="S39" s="1">
        <v>6.0</v>
      </c>
      <c r="T39" s="1" t="s">
        <v>21</v>
      </c>
    </row>
    <row r="40">
      <c r="B40" s="1" t="s">
        <v>86</v>
      </c>
      <c r="E40" s="1" t="s">
        <v>88</v>
      </c>
      <c r="F40" s="1">
        <v>8.0</v>
      </c>
      <c r="G40" s="1">
        <v>0.0</v>
      </c>
      <c r="H40" s="1" t="s">
        <v>21</v>
      </c>
      <c r="I40" s="1">
        <v>5.0</v>
      </c>
      <c r="J40" s="1">
        <v>5.0</v>
      </c>
      <c r="K40" s="1">
        <v>3.0</v>
      </c>
      <c r="L40" s="1">
        <v>31.0</v>
      </c>
      <c r="M40" s="1">
        <v>3.0</v>
      </c>
      <c r="N40" s="1">
        <v>6.0</v>
      </c>
      <c r="O40" s="1">
        <v>10.0</v>
      </c>
      <c r="P40" s="1">
        <v>42.0</v>
      </c>
      <c r="Q40" s="1">
        <v>15.0</v>
      </c>
      <c r="R40" s="1">
        <v>39.0</v>
      </c>
      <c r="S40" s="1">
        <v>6.0</v>
      </c>
      <c r="T40" s="1" t="s">
        <v>21</v>
      </c>
    </row>
    <row r="41">
      <c r="B41" s="1" t="s">
        <v>86</v>
      </c>
      <c r="E41" s="1" t="s">
        <v>89</v>
      </c>
      <c r="F41" s="1">
        <v>7.0</v>
      </c>
      <c r="G41" s="1">
        <v>3.0</v>
      </c>
      <c r="H41" s="1" t="s">
        <v>21</v>
      </c>
      <c r="I41" s="1">
        <v>5.0</v>
      </c>
      <c r="J41" s="1">
        <v>5.0</v>
      </c>
      <c r="K41" s="1">
        <v>3.0</v>
      </c>
      <c r="L41" s="1">
        <v>31.0</v>
      </c>
      <c r="M41" s="1">
        <v>3.0</v>
      </c>
      <c r="N41" s="1">
        <v>6.0</v>
      </c>
      <c r="O41" s="1">
        <v>10.0</v>
      </c>
      <c r="P41" s="1">
        <v>42.0</v>
      </c>
      <c r="Q41" s="1">
        <v>15.0</v>
      </c>
      <c r="R41" s="1">
        <v>39.0</v>
      </c>
      <c r="S41" s="1">
        <v>6.0</v>
      </c>
      <c r="T41" s="1" t="s">
        <v>21</v>
      </c>
    </row>
    <row r="42">
      <c r="B42" s="1" t="s">
        <v>86</v>
      </c>
      <c r="E42" s="1" t="s">
        <v>90</v>
      </c>
      <c r="F42" s="1">
        <v>6.0</v>
      </c>
      <c r="G42" s="1">
        <v>6.0</v>
      </c>
      <c r="H42" s="1" t="s">
        <v>21</v>
      </c>
      <c r="I42" s="1">
        <v>5.0</v>
      </c>
      <c r="J42" s="1">
        <v>5.0</v>
      </c>
      <c r="K42" s="1">
        <v>3.0</v>
      </c>
      <c r="L42" s="1">
        <v>31.0</v>
      </c>
      <c r="M42" s="1">
        <v>3.0</v>
      </c>
      <c r="N42" s="1">
        <v>6.0</v>
      </c>
      <c r="O42" s="1">
        <v>10.0</v>
      </c>
      <c r="P42" s="1">
        <v>42.0</v>
      </c>
      <c r="Q42" s="1">
        <v>15.0</v>
      </c>
      <c r="R42" s="1">
        <v>39.0</v>
      </c>
      <c r="S42" s="1">
        <v>6.0</v>
      </c>
      <c r="T42" s="1" t="s">
        <v>21</v>
      </c>
    </row>
    <row r="43">
      <c r="B43" s="1" t="s">
        <v>86</v>
      </c>
      <c r="E43" s="1" t="s">
        <v>91</v>
      </c>
      <c r="F43" s="1">
        <v>5.0</v>
      </c>
      <c r="G43" s="1">
        <v>9.0</v>
      </c>
      <c r="H43" s="1" t="s">
        <v>21</v>
      </c>
      <c r="I43" s="1">
        <v>5.0</v>
      </c>
      <c r="J43" s="1">
        <v>5.0</v>
      </c>
      <c r="K43" s="1">
        <v>3.0</v>
      </c>
      <c r="L43" s="1">
        <v>31.0</v>
      </c>
      <c r="M43" s="1">
        <v>3.0</v>
      </c>
      <c r="N43" s="1">
        <v>6.0</v>
      </c>
      <c r="O43" s="1">
        <v>10.0</v>
      </c>
      <c r="P43" s="1">
        <v>42.0</v>
      </c>
      <c r="Q43" s="1">
        <v>15.0</v>
      </c>
      <c r="R43" s="1">
        <v>39.0</v>
      </c>
      <c r="S43" s="1">
        <v>6.0</v>
      </c>
      <c r="T43" s="1" t="s">
        <v>21</v>
      </c>
    </row>
    <row r="44">
      <c r="B44" s="1" t="s">
        <v>92</v>
      </c>
      <c r="C44" s="4">
        <v>20000.0</v>
      </c>
      <c r="E44" s="1" t="s">
        <v>87</v>
      </c>
      <c r="F44" s="1">
        <v>0.0</v>
      </c>
      <c r="G44" s="1">
        <v>25.0</v>
      </c>
      <c r="H44" s="1" t="s">
        <v>22</v>
      </c>
      <c r="I44" s="1">
        <v>100.0</v>
      </c>
      <c r="J44" s="1">
        <v>0.0</v>
      </c>
      <c r="K44" s="1">
        <v>0.0</v>
      </c>
      <c r="L44" s="1">
        <v>0.0</v>
      </c>
      <c r="M44" s="1">
        <v>0.0</v>
      </c>
      <c r="N44" s="1">
        <v>0.0</v>
      </c>
      <c r="O44" s="1">
        <v>10.0</v>
      </c>
      <c r="P44" s="1">
        <v>42.0</v>
      </c>
      <c r="Q44" s="1">
        <v>15.0</v>
      </c>
      <c r="R44" s="1">
        <v>39.0</v>
      </c>
      <c r="S44" s="1">
        <v>6.0</v>
      </c>
      <c r="T44" s="1" t="s">
        <v>22</v>
      </c>
    </row>
    <row r="45">
      <c r="B45" s="1" t="s">
        <v>92</v>
      </c>
      <c r="C45" s="4">
        <v>20000.0</v>
      </c>
      <c r="E45" s="1" t="s">
        <v>88</v>
      </c>
      <c r="F45" s="1">
        <v>8.0</v>
      </c>
      <c r="G45" s="1">
        <v>0.0</v>
      </c>
      <c r="H45" s="1" t="s">
        <v>22</v>
      </c>
      <c r="I45" s="1">
        <v>5.0</v>
      </c>
      <c r="J45" s="1">
        <v>5.0</v>
      </c>
      <c r="K45" s="1">
        <v>3.0</v>
      </c>
      <c r="L45" s="1">
        <v>31.0</v>
      </c>
      <c r="M45" s="1">
        <v>3.0</v>
      </c>
      <c r="N45" s="1">
        <v>6.0</v>
      </c>
      <c r="O45" s="1">
        <v>10.0</v>
      </c>
      <c r="P45" s="1">
        <v>42.0</v>
      </c>
      <c r="Q45" s="1">
        <v>15.0</v>
      </c>
      <c r="R45" s="1">
        <v>39.0</v>
      </c>
      <c r="S45" s="1">
        <v>6.0</v>
      </c>
      <c r="T45" s="1" t="s">
        <v>22</v>
      </c>
    </row>
    <row r="46">
      <c r="B46" s="1" t="s">
        <v>92</v>
      </c>
      <c r="C46" s="4">
        <v>20000.0</v>
      </c>
      <c r="E46" s="1" t="s">
        <v>89</v>
      </c>
      <c r="F46" s="1">
        <v>7.0</v>
      </c>
      <c r="G46" s="1">
        <v>3.0</v>
      </c>
      <c r="H46" s="1" t="s">
        <v>22</v>
      </c>
      <c r="I46" s="1">
        <v>5.0</v>
      </c>
      <c r="J46" s="1">
        <v>5.0</v>
      </c>
      <c r="K46" s="1">
        <v>3.0</v>
      </c>
      <c r="L46" s="1">
        <v>31.0</v>
      </c>
      <c r="M46" s="1">
        <v>3.0</v>
      </c>
      <c r="N46" s="1">
        <v>6.0</v>
      </c>
      <c r="O46" s="1">
        <v>10.0</v>
      </c>
      <c r="P46" s="1">
        <v>42.0</v>
      </c>
      <c r="Q46" s="1">
        <v>15.0</v>
      </c>
      <c r="R46" s="1">
        <v>39.0</v>
      </c>
      <c r="S46" s="1">
        <v>6.0</v>
      </c>
      <c r="T46" s="1" t="s">
        <v>22</v>
      </c>
    </row>
    <row r="47">
      <c r="B47" s="1" t="s">
        <v>92</v>
      </c>
      <c r="C47" s="4">
        <v>20000.0</v>
      </c>
      <c r="E47" s="1" t="s">
        <v>90</v>
      </c>
      <c r="F47" s="1">
        <v>6.0</v>
      </c>
      <c r="G47" s="1">
        <v>6.0</v>
      </c>
      <c r="H47" s="1" t="s">
        <v>22</v>
      </c>
      <c r="I47" s="1">
        <v>5.0</v>
      </c>
      <c r="J47" s="1">
        <v>5.0</v>
      </c>
      <c r="K47" s="1">
        <v>3.0</v>
      </c>
      <c r="L47" s="1">
        <v>31.0</v>
      </c>
      <c r="M47" s="1">
        <v>3.0</v>
      </c>
      <c r="N47" s="1">
        <v>6.0</v>
      </c>
      <c r="O47" s="1">
        <v>10.0</v>
      </c>
      <c r="P47" s="1">
        <v>42.0</v>
      </c>
      <c r="Q47" s="1">
        <v>15.0</v>
      </c>
      <c r="R47" s="1">
        <v>39.0</v>
      </c>
      <c r="S47" s="1">
        <v>6.0</v>
      </c>
      <c r="T47" s="1" t="s">
        <v>22</v>
      </c>
    </row>
    <row r="48">
      <c r="B48" s="1" t="s">
        <v>92</v>
      </c>
      <c r="C48" s="4">
        <v>20000.0</v>
      </c>
      <c r="E48" s="1" t="s">
        <v>91</v>
      </c>
      <c r="F48" s="1">
        <v>5.0</v>
      </c>
      <c r="G48" s="1">
        <v>9.0</v>
      </c>
      <c r="H48" s="1" t="s">
        <v>22</v>
      </c>
      <c r="I48" s="1">
        <v>5.0</v>
      </c>
      <c r="J48" s="1">
        <v>5.0</v>
      </c>
      <c r="K48" s="1">
        <v>3.0</v>
      </c>
      <c r="L48" s="1">
        <v>31.0</v>
      </c>
      <c r="M48" s="1">
        <v>3.0</v>
      </c>
      <c r="N48" s="1">
        <v>6.0</v>
      </c>
      <c r="O48" s="1">
        <v>10.0</v>
      </c>
      <c r="P48" s="1">
        <v>42.0</v>
      </c>
      <c r="Q48" s="1">
        <v>15.0</v>
      </c>
      <c r="R48" s="1">
        <v>39.0</v>
      </c>
      <c r="S48" s="1">
        <v>6.0</v>
      </c>
      <c r="T48" s="1" t="s">
        <v>22</v>
      </c>
    </row>
    <row r="49">
      <c r="A49" s="1" t="s">
        <v>93</v>
      </c>
      <c r="E49" s="1" t="s">
        <v>20</v>
      </c>
      <c r="F49" s="1">
        <v>8.0</v>
      </c>
      <c r="G49" s="1">
        <v>0.0</v>
      </c>
      <c r="H49" s="1" t="s">
        <v>21</v>
      </c>
      <c r="I49" s="1">
        <v>5.0</v>
      </c>
      <c r="J49" s="1">
        <v>5.0</v>
      </c>
      <c r="K49" s="1">
        <v>3.0</v>
      </c>
      <c r="L49" s="1">
        <v>31.0</v>
      </c>
      <c r="M49" s="1">
        <v>3.0</v>
      </c>
      <c r="N49" s="1">
        <v>6.0</v>
      </c>
      <c r="O49" s="1">
        <v>10.0</v>
      </c>
      <c r="P49" s="1">
        <f t="shared" ref="P49:P58" si="5">4*12</f>
        <v>48</v>
      </c>
      <c r="Q49" s="1">
        <v>18.0</v>
      </c>
      <c r="R49" s="1">
        <v>48.0</v>
      </c>
      <c r="S49" s="1">
        <v>6.0</v>
      </c>
      <c r="T49" s="1" t="s">
        <v>21</v>
      </c>
    </row>
    <row r="50">
      <c r="E50" s="1" t="s">
        <v>23</v>
      </c>
      <c r="F50" s="1">
        <v>8.0</v>
      </c>
      <c r="G50" s="1">
        <v>10.0</v>
      </c>
      <c r="H50" s="1" t="s">
        <v>21</v>
      </c>
      <c r="I50" s="1">
        <v>10.0</v>
      </c>
      <c r="J50" s="1">
        <v>0.0</v>
      </c>
      <c r="K50" s="1">
        <v>3.0</v>
      </c>
      <c r="L50" s="1">
        <v>32.0</v>
      </c>
      <c r="M50" s="1">
        <v>3.0</v>
      </c>
      <c r="N50" s="1">
        <v>3.0</v>
      </c>
      <c r="O50" s="1">
        <v>10.0</v>
      </c>
      <c r="P50" s="1">
        <f t="shared" si="5"/>
        <v>48</v>
      </c>
      <c r="Q50" s="1">
        <v>18.0</v>
      </c>
      <c r="R50" s="1">
        <v>48.0</v>
      </c>
      <c r="S50" s="1">
        <v>6.0</v>
      </c>
      <c r="T50" s="1" t="s">
        <v>21</v>
      </c>
    </row>
    <row r="51">
      <c r="E51" s="1" t="s">
        <v>24</v>
      </c>
      <c r="F51" s="1">
        <v>8.0</v>
      </c>
      <c r="G51" s="1">
        <v>15.0</v>
      </c>
      <c r="H51" s="1" t="s">
        <v>21</v>
      </c>
      <c r="I51" s="1">
        <v>7.5</v>
      </c>
      <c r="J51" s="1">
        <v>7.5</v>
      </c>
      <c r="K51" s="1">
        <v>3.0</v>
      </c>
      <c r="L51" s="1">
        <v>31.0</v>
      </c>
      <c r="M51" s="1">
        <v>3.0</v>
      </c>
      <c r="N51" s="1">
        <v>6.0</v>
      </c>
      <c r="O51" s="1">
        <v>10.0</v>
      </c>
      <c r="P51" s="1">
        <f t="shared" si="5"/>
        <v>48</v>
      </c>
      <c r="Q51" s="1">
        <v>18.0</v>
      </c>
      <c r="R51" s="1">
        <v>48.0</v>
      </c>
      <c r="S51" s="1">
        <v>6.0</v>
      </c>
      <c r="T51" s="1" t="s">
        <v>21</v>
      </c>
    </row>
    <row r="52">
      <c r="E52" s="1" t="s">
        <v>25</v>
      </c>
      <c r="F52" s="1">
        <v>8.0</v>
      </c>
      <c r="G52" s="1">
        <v>20.0</v>
      </c>
      <c r="H52" s="1" t="s">
        <v>21</v>
      </c>
      <c r="I52" s="1">
        <v>10.0</v>
      </c>
      <c r="J52" s="1">
        <v>10.0</v>
      </c>
      <c r="K52" s="1">
        <v>3.0</v>
      </c>
      <c r="L52" s="1">
        <v>31.0</v>
      </c>
      <c r="M52" s="1">
        <v>3.0</v>
      </c>
      <c r="N52" s="1">
        <v>6.0</v>
      </c>
      <c r="O52" s="1">
        <v>10.0</v>
      </c>
      <c r="P52" s="1">
        <f t="shared" si="5"/>
        <v>48</v>
      </c>
      <c r="Q52" s="1">
        <v>18.0</v>
      </c>
      <c r="R52" s="1">
        <v>48.0</v>
      </c>
      <c r="S52" s="1">
        <v>6.0</v>
      </c>
      <c r="T52" s="1" t="s">
        <v>21</v>
      </c>
    </row>
    <row r="53">
      <c r="E53" s="1" t="s">
        <v>26</v>
      </c>
      <c r="F53" s="1">
        <v>8.0</v>
      </c>
      <c r="G53" s="1">
        <v>25.0</v>
      </c>
      <c r="H53" s="1" t="s">
        <v>21</v>
      </c>
      <c r="I53" s="1">
        <v>12.5</v>
      </c>
      <c r="J53" s="1">
        <v>12.5</v>
      </c>
      <c r="K53" s="1">
        <v>3.0</v>
      </c>
      <c r="L53" s="1">
        <v>31.0</v>
      </c>
      <c r="M53" s="1">
        <v>3.0</v>
      </c>
      <c r="N53" s="1">
        <v>6.0</v>
      </c>
      <c r="O53" s="1">
        <v>10.0</v>
      </c>
      <c r="P53" s="1">
        <f t="shared" si="5"/>
        <v>48</v>
      </c>
      <c r="Q53" s="1">
        <v>18.0</v>
      </c>
      <c r="R53" s="1">
        <v>48.0</v>
      </c>
      <c r="S53" s="1">
        <v>6.0</v>
      </c>
      <c r="T53" s="1" t="s">
        <v>21</v>
      </c>
    </row>
    <row r="54">
      <c r="E54" s="1" t="s">
        <v>27</v>
      </c>
      <c r="F54" s="1">
        <v>8.0</v>
      </c>
      <c r="G54" s="1">
        <v>30.0</v>
      </c>
      <c r="H54" s="1" t="s">
        <v>21</v>
      </c>
      <c r="I54" s="1">
        <v>15.0</v>
      </c>
      <c r="J54" s="1">
        <v>15.0</v>
      </c>
      <c r="K54" s="1">
        <v>3.0</v>
      </c>
      <c r="L54" s="1">
        <v>31.0</v>
      </c>
      <c r="M54" s="1">
        <v>3.0</v>
      </c>
      <c r="N54" s="1">
        <v>6.0</v>
      </c>
      <c r="O54" s="1">
        <v>10.0</v>
      </c>
      <c r="P54" s="1">
        <f t="shared" si="5"/>
        <v>48</v>
      </c>
      <c r="Q54" s="1">
        <v>18.0</v>
      </c>
      <c r="R54" s="1">
        <v>48.0</v>
      </c>
      <c r="S54" s="1">
        <v>6.0</v>
      </c>
      <c r="T54" s="1" t="s">
        <v>21</v>
      </c>
    </row>
    <row r="55">
      <c r="E55" s="1" t="s">
        <v>28</v>
      </c>
      <c r="F55" s="1">
        <v>8.0</v>
      </c>
      <c r="G55" s="1">
        <v>35.0</v>
      </c>
      <c r="H55" s="1" t="s">
        <v>21</v>
      </c>
      <c r="I55" s="1">
        <v>17.5</v>
      </c>
      <c r="J55" s="1">
        <v>17.5</v>
      </c>
      <c r="K55" s="1">
        <v>3.0</v>
      </c>
      <c r="L55" s="1">
        <v>31.0</v>
      </c>
      <c r="M55" s="1">
        <v>3.0</v>
      </c>
      <c r="N55" s="1">
        <v>6.0</v>
      </c>
      <c r="O55" s="1">
        <v>10.0</v>
      </c>
      <c r="P55" s="1">
        <f t="shared" si="5"/>
        <v>48</v>
      </c>
      <c r="Q55" s="1">
        <v>18.0</v>
      </c>
      <c r="R55" s="1">
        <v>48.0</v>
      </c>
      <c r="S55" s="1">
        <v>6.0</v>
      </c>
      <c r="T55" s="1" t="s">
        <v>21</v>
      </c>
    </row>
    <row r="56">
      <c r="E56" s="1" t="s">
        <v>29</v>
      </c>
      <c r="F56" s="1">
        <v>8.0</v>
      </c>
      <c r="G56" s="1">
        <v>40.0</v>
      </c>
      <c r="H56" s="1" t="s">
        <v>21</v>
      </c>
      <c r="I56" s="1">
        <v>20.0</v>
      </c>
      <c r="J56" s="1">
        <v>20.0</v>
      </c>
      <c r="K56" s="1">
        <v>3.0</v>
      </c>
      <c r="L56" s="1">
        <v>31.0</v>
      </c>
      <c r="M56" s="1">
        <v>3.0</v>
      </c>
      <c r="N56" s="1">
        <v>6.0</v>
      </c>
      <c r="O56" s="1">
        <v>10.0</v>
      </c>
      <c r="P56" s="1">
        <f t="shared" si="5"/>
        <v>48</v>
      </c>
      <c r="Q56" s="1">
        <v>18.0</v>
      </c>
      <c r="R56" s="1">
        <v>48.0</v>
      </c>
      <c r="S56" s="1">
        <v>6.0</v>
      </c>
      <c r="T56" s="1" t="s">
        <v>21</v>
      </c>
    </row>
    <row r="57">
      <c r="E57" s="1" t="s">
        <v>30</v>
      </c>
      <c r="F57" s="1">
        <v>8.0</v>
      </c>
      <c r="G57" s="1">
        <v>45.0</v>
      </c>
      <c r="H57" s="1" t="s">
        <v>21</v>
      </c>
      <c r="I57" s="1">
        <v>22.5</v>
      </c>
      <c r="J57" s="1">
        <v>22.5</v>
      </c>
      <c r="K57" s="1">
        <v>3.0</v>
      </c>
      <c r="L57" s="1">
        <v>31.0</v>
      </c>
      <c r="M57" s="1">
        <v>3.0</v>
      </c>
      <c r="N57" s="1">
        <v>6.0</v>
      </c>
      <c r="O57" s="1">
        <v>10.0</v>
      </c>
      <c r="P57" s="1">
        <f t="shared" si="5"/>
        <v>48</v>
      </c>
      <c r="Q57" s="1">
        <v>18.0</v>
      </c>
      <c r="R57" s="1">
        <v>48.0</v>
      </c>
      <c r="S57" s="1">
        <v>6.0</v>
      </c>
      <c r="T57" s="1" t="s">
        <v>21</v>
      </c>
    </row>
    <row r="58">
      <c r="E58" s="1" t="s">
        <v>32</v>
      </c>
      <c r="F58" s="1">
        <v>0.0</v>
      </c>
      <c r="G58" s="1">
        <v>50.0</v>
      </c>
      <c r="H58" s="1" t="s">
        <v>21</v>
      </c>
      <c r="I58" s="1">
        <v>25.0</v>
      </c>
      <c r="J58" s="1">
        <v>25.0</v>
      </c>
      <c r="K58" s="1">
        <v>3.0</v>
      </c>
      <c r="L58" s="1">
        <v>1.0</v>
      </c>
      <c r="M58" s="1">
        <v>3.0</v>
      </c>
      <c r="N58" s="1">
        <v>6.0</v>
      </c>
      <c r="O58" s="1">
        <v>10.0</v>
      </c>
      <c r="P58" s="1">
        <f t="shared" si="5"/>
        <v>48</v>
      </c>
      <c r="Q58" s="1">
        <v>18.0</v>
      </c>
      <c r="R58" s="1">
        <v>48.0</v>
      </c>
      <c r="S58" s="1">
        <v>6.0</v>
      </c>
      <c r="T58" s="1" t="s">
        <v>21</v>
      </c>
    </row>
    <row r="59">
      <c r="A59" s="1" t="s">
        <v>94</v>
      </c>
      <c r="E59" s="1" t="s">
        <v>20</v>
      </c>
      <c r="F59" s="1">
        <v>8.0</v>
      </c>
      <c r="G59" s="1">
        <v>0.0</v>
      </c>
      <c r="H59" s="1" t="s">
        <v>21</v>
      </c>
      <c r="I59" s="1">
        <v>5.0</v>
      </c>
      <c r="J59" s="1">
        <v>5.0</v>
      </c>
      <c r="K59" s="1">
        <v>3.0</v>
      </c>
      <c r="L59" s="1">
        <v>31.0</v>
      </c>
      <c r="M59" s="1">
        <v>3.0</v>
      </c>
      <c r="N59" s="1">
        <v>6.0</v>
      </c>
      <c r="O59" s="1">
        <v>10.0</v>
      </c>
      <c r="P59" s="1">
        <v>24.0</v>
      </c>
      <c r="Q59" s="1">
        <v>6.0</v>
      </c>
      <c r="R59" s="1">
        <v>24.0</v>
      </c>
      <c r="S59" s="1">
        <v>3.0</v>
      </c>
      <c r="T59" s="1" t="s">
        <v>21</v>
      </c>
    </row>
    <row r="60">
      <c r="E60" s="1" t="s">
        <v>23</v>
      </c>
      <c r="F60" s="1">
        <v>8.0</v>
      </c>
      <c r="G60" s="1">
        <v>10.0</v>
      </c>
      <c r="H60" s="1" t="s">
        <v>21</v>
      </c>
      <c r="I60" s="1">
        <v>10.0</v>
      </c>
      <c r="J60" s="1">
        <v>0.0</v>
      </c>
      <c r="K60" s="1">
        <v>3.0</v>
      </c>
      <c r="L60" s="1">
        <v>32.0</v>
      </c>
      <c r="M60" s="1">
        <v>3.0</v>
      </c>
      <c r="N60" s="1">
        <v>3.0</v>
      </c>
      <c r="O60" s="1">
        <v>10.0</v>
      </c>
      <c r="P60" s="1">
        <v>24.0</v>
      </c>
      <c r="Q60" s="1">
        <v>6.0</v>
      </c>
      <c r="R60" s="1">
        <v>24.0</v>
      </c>
      <c r="S60" s="1">
        <v>3.0</v>
      </c>
      <c r="T60" s="1" t="s">
        <v>21</v>
      </c>
    </row>
    <row r="61">
      <c r="E61" s="1" t="s">
        <v>24</v>
      </c>
      <c r="F61" s="1">
        <v>8.0</v>
      </c>
      <c r="G61" s="1">
        <v>15.0</v>
      </c>
      <c r="H61" s="1" t="s">
        <v>21</v>
      </c>
      <c r="I61" s="1">
        <v>7.5</v>
      </c>
      <c r="J61" s="1">
        <v>7.5</v>
      </c>
      <c r="K61" s="1">
        <v>3.0</v>
      </c>
      <c r="L61" s="1">
        <v>31.0</v>
      </c>
      <c r="M61" s="1">
        <v>3.0</v>
      </c>
      <c r="N61" s="1">
        <v>6.0</v>
      </c>
      <c r="O61" s="1">
        <v>10.0</v>
      </c>
      <c r="P61" s="1">
        <v>24.0</v>
      </c>
      <c r="Q61" s="1">
        <v>6.0</v>
      </c>
      <c r="R61" s="1">
        <v>24.0</v>
      </c>
      <c r="S61" s="1">
        <v>3.0</v>
      </c>
      <c r="T61" s="1" t="s">
        <v>21</v>
      </c>
    </row>
    <row r="62">
      <c r="E62" s="1" t="s">
        <v>25</v>
      </c>
      <c r="F62" s="1">
        <v>8.0</v>
      </c>
      <c r="G62" s="1">
        <v>20.0</v>
      </c>
      <c r="H62" s="1" t="s">
        <v>21</v>
      </c>
      <c r="I62" s="1">
        <v>10.0</v>
      </c>
      <c r="J62" s="1">
        <v>10.0</v>
      </c>
      <c r="K62" s="1">
        <v>3.0</v>
      </c>
      <c r="L62" s="1">
        <v>31.0</v>
      </c>
      <c r="M62" s="1">
        <v>3.0</v>
      </c>
      <c r="N62" s="1">
        <v>6.0</v>
      </c>
      <c r="O62" s="1">
        <v>10.0</v>
      </c>
      <c r="P62" s="1">
        <v>24.0</v>
      </c>
      <c r="Q62" s="1">
        <v>6.0</v>
      </c>
      <c r="R62" s="1">
        <v>24.0</v>
      </c>
      <c r="S62" s="1">
        <v>3.0</v>
      </c>
      <c r="T62" s="1" t="s">
        <v>21</v>
      </c>
    </row>
    <row r="63">
      <c r="E63" s="1" t="s">
        <v>26</v>
      </c>
      <c r="F63" s="1">
        <v>8.0</v>
      </c>
      <c r="G63" s="1">
        <v>25.0</v>
      </c>
      <c r="H63" s="1" t="s">
        <v>21</v>
      </c>
      <c r="I63" s="1">
        <v>12.5</v>
      </c>
      <c r="J63" s="1">
        <v>12.5</v>
      </c>
      <c r="K63" s="1">
        <v>3.0</v>
      </c>
      <c r="L63" s="1">
        <v>31.0</v>
      </c>
      <c r="M63" s="1">
        <v>3.0</v>
      </c>
      <c r="N63" s="1">
        <v>6.0</v>
      </c>
      <c r="O63" s="1">
        <v>10.0</v>
      </c>
      <c r="P63" s="1">
        <v>24.0</v>
      </c>
      <c r="Q63" s="1">
        <v>6.0</v>
      </c>
      <c r="R63" s="1">
        <v>24.0</v>
      </c>
      <c r="S63" s="1">
        <v>3.0</v>
      </c>
      <c r="T63" s="1" t="s">
        <v>21</v>
      </c>
    </row>
    <row r="64">
      <c r="E64" s="1" t="s">
        <v>27</v>
      </c>
      <c r="F64" s="1">
        <v>8.0</v>
      </c>
      <c r="G64" s="1">
        <v>30.0</v>
      </c>
      <c r="H64" s="1" t="s">
        <v>21</v>
      </c>
      <c r="I64" s="1">
        <v>15.0</v>
      </c>
      <c r="J64" s="1">
        <v>15.0</v>
      </c>
      <c r="K64" s="1">
        <v>3.0</v>
      </c>
      <c r="L64" s="1">
        <v>31.0</v>
      </c>
      <c r="M64" s="1">
        <v>3.0</v>
      </c>
      <c r="N64" s="1">
        <v>6.0</v>
      </c>
      <c r="O64" s="1">
        <v>10.0</v>
      </c>
      <c r="P64" s="1">
        <v>24.0</v>
      </c>
      <c r="Q64" s="1">
        <v>6.0</v>
      </c>
      <c r="R64" s="1">
        <v>24.0</v>
      </c>
      <c r="S64" s="1">
        <v>3.0</v>
      </c>
      <c r="T64" s="1" t="s">
        <v>21</v>
      </c>
    </row>
    <row r="65">
      <c r="E65" s="1" t="s">
        <v>28</v>
      </c>
      <c r="F65" s="1">
        <v>8.0</v>
      </c>
      <c r="G65" s="1">
        <v>35.0</v>
      </c>
      <c r="H65" s="1" t="s">
        <v>21</v>
      </c>
      <c r="I65" s="1">
        <v>17.5</v>
      </c>
      <c r="J65" s="1">
        <v>17.5</v>
      </c>
      <c r="K65" s="1">
        <v>3.0</v>
      </c>
      <c r="L65" s="1">
        <v>31.0</v>
      </c>
      <c r="M65" s="1">
        <v>3.0</v>
      </c>
      <c r="N65" s="1">
        <v>6.0</v>
      </c>
      <c r="O65" s="1">
        <v>10.0</v>
      </c>
      <c r="P65" s="1">
        <v>24.0</v>
      </c>
      <c r="Q65" s="1">
        <v>6.0</v>
      </c>
      <c r="R65" s="1">
        <v>24.0</v>
      </c>
      <c r="S65" s="1">
        <v>3.0</v>
      </c>
      <c r="T65" s="1" t="s">
        <v>21</v>
      </c>
    </row>
    <row r="66">
      <c r="E66" s="1" t="s">
        <v>29</v>
      </c>
      <c r="F66" s="1">
        <v>8.0</v>
      </c>
      <c r="G66" s="1">
        <v>40.0</v>
      </c>
      <c r="H66" s="1" t="s">
        <v>21</v>
      </c>
      <c r="I66" s="1">
        <v>20.0</v>
      </c>
      <c r="J66" s="1">
        <v>20.0</v>
      </c>
      <c r="K66" s="1">
        <v>3.0</v>
      </c>
      <c r="L66" s="1">
        <v>31.0</v>
      </c>
      <c r="M66" s="1">
        <v>3.0</v>
      </c>
      <c r="N66" s="1">
        <v>6.0</v>
      </c>
      <c r="O66" s="1">
        <v>10.0</v>
      </c>
      <c r="P66" s="1">
        <v>24.0</v>
      </c>
      <c r="Q66" s="1">
        <v>6.0</v>
      </c>
      <c r="R66" s="1">
        <v>24.0</v>
      </c>
      <c r="S66" s="1">
        <v>3.0</v>
      </c>
      <c r="T66" s="1" t="s">
        <v>21</v>
      </c>
    </row>
    <row r="67">
      <c r="E67" s="1" t="s">
        <v>30</v>
      </c>
      <c r="F67" s="1">
        <v>8.0</v>
      </c>
      <c r="G67" s="1">
        <v>45.0</v>
      </c>
      <c r="H67" s="1" t="s">
        <v>21</v>
      </c>
      <c r="I67" s="1">
        <v>22.5</v>
      </c>
      <c r="J67" s="1">
        <v>22.5</v>
      </c>
      <c r="K67" s="1">
        <v>3.0</v>
      </c>
      <c r="L67" s="1">
        <v>31.0</v>
      </c>
      <c r="M67" s="1">
        <v>3.0</v>
      </c>
      <c r="N67" s="1">
        <v>6.0</v>
      </c>
      <c r="O67" s="1">
        <v>10.0</v>
      </c>
      <c r="P67" s="1">
        <v>24.0</v>
      </c>
      <c r="Q67" s="1">
        <v>6.0</v>
      </c>
      <c r="R67" s="1">
        <v>24.0</v>
      </c>
      <c r="S67" s="1">
        <v>3.0</v>
      </c>
      <c r="T67" s="1" t="s">
        <v>21</v>
      </c>
    </row>
    <row r="68">
      <c r="E68" s="1" t="s">
        <v>32</v>
      </c>
      <c r="F68" s="1">
        <v>0.0</v>
      </c>
      <c r="G68" s="1">
        <v>50.0</v>
      </c>
      <c r="H68" s="1" t="s">
        <v>21</v>
      </c>
      <c r="I68" s="1">
        <v>25.0</v>
      </c>
      <c r="J68" s="1">
        <v>25.0</v>
      </c>
      <c r="K68" s="1">
        <v>3.0</v>
      </c>
      <c r="L68" s="1">
        <v>1.0</v>
      </c>
      <c r="M68" s="1">
        <v>3.0</v>
      </c>
      <c r="N68" s="1">
        <v>6.0</v>
      </c>
      <c r="O68" s="1">
        <v>10.0</v>
      </c>
      <c r="P68" s="1">
        <v>24.0</v>
      </c>
      <c r="Q68" s="1">
        <v>6.0</v>
      </c>
      <c r="R68" s="1">
        <v>24.0</v>
      </c>
      <c r="S68" s="1">
        <v>3.0</v>
      </c>
      <c r="T68" s="1" t="s">
        <v>21</v>
      </c>
    </row>
    <row r="69">
      <c r="A69" s="2" t="s">
        <v>95</v>
      </c>
      <c r="E69" s="1" t="s">
        <v>20</v>
      </c>
      <c r="F69" s="1">
        <v>8.0</v>
      </c>
      <c r="G69" s="1">
        <v>0.0</v>
      </c>
      <c r="H69" s="1" t="s">
        <v>21</v>
      </c>
      <c r="I69" s="1">
        <v>5.0</v>
      </c>
      <c r="J69" s="1">
        <v>5.0</v>
      </c>
      <c r="K69" s="1">
        <v>3.0</v>
      </c>
      <c r="L69" s="1">
        <v>31.0</v>
      </c>
      <c r="M69" s="1">
        <v>3.0</v>
      </c>
      <c r="N69" s="1">
        <v>6.0</v>
      </c>
      <c r="O69" s="1">
        <v>10.0</v>
      </c>
      <c r="P69" s="2">
        <v>24.0</v>
      </c>
      <c r="Q69" s="2">
        <v>6.0</v>
      </c>
      <c r="R69" s="2">
        <v>30.0</v>
      </c>
      <c r="S69" s="2">
        <v>18.0</v>
      </c>
      <c r="T69" s="1" t="s">
        <v>21</v>
      </c>
    </row>
    <row r="70">
      <c r="E70" s="1" t="s">
        <v>23</v>
      </c>
      <c r="F70" s="1">
        <v>8.0</v>
      </c>
      <c r="G70" s="1">
        <v>10.0</v>
      </c>
      <c r="H70" s="1" t="s">
        <v>21</v>
      </c>
      <c r="I70" s="1">
        <v>10.0</v>
      </c>
      <c r="J70" s="1">
        <v>0.0</v>
      </c>
      <c r="K70" s="1">
        <v>3.0</v>
      </c>
      <c r="L70" s="1">
        <v>32.0</v>
      </c>
      <c r="M70" s="1">
        <v>3.0</v>
      </c>
      <c r="N70" s="1">
        <v>3.0</v>
      </c>
      <c r="O70" s="1">
        <v>10.0</v>
      </c>
      <c r="P70" s="2">
        <v>24.0</v>
      </c>
      <c r="Q70" s="2">
        <v>6.0</v>
      </c>
      <c r="R70" s="2">
        <v>30.0</v>
      </c>
      <c r="S70" s="2">
        <v>18.0</v>
      </c>
      <c r="T70" s="1" t="s">
        <v>21</v>
      </c>
    </row>
    <row r="71">
      <c r="E71" s="1" t="s">
        <v>24</v>
      </c>
      <c r="F71" s="1">
        <v>8.0</v>
      </c>
      <c r="G71" s="1">
        <v>15.0</v>
      </c>
      <c r="H71" s="1" t="s">
        <v>21</v>
      </c>
      <c r="I71" s="1">
        <v>7.5</v>
      </c>
      <c r="J71" s="1">
        <v>7.5</v>
      </c>
      <c r="K71" s="1">
        <v>3.0</v>
      </c>
      <c r="L71" s="1">
        <v>31.0</v>
      </c>
      <c r="M71" s="1">
        <v>3.0</v>
      </c>
      <c r="N71" s="1">
        <v>6.0</v>
      </c>
      <c r="O71" s="1">
        <v>10.0</v>
      </c>
      <c r="P71" s="2">
        <v>24.0</v>
      </c>
      <c r="Q71" s="2">
        <v>6.0</v>
      </c>
      <c r="R71" s="2">
        <v>30.0</v>
      </c>
      <c r="S71" s="2">
        <v>18.0</v>
      </c>
      <c r="T71" s="1" t="s">
        <v>21</v>
      </c>
    </row>
    <row r="72">
      <c r="E72" s="1" t="s">
        <v>25</v>
      </c>
      <c r="F72" s="1">
        <v>8.0</v>
      </c>
      <c r="G72" s="1">
        <v>20.0</v>
      </c>
      <c r="H72" s="1" t="s">
        <v>21</v>
      </c>
      <c r="I72" s="1">
        <v>10.0</v>
      </c>
      <c r="J72" s="1">
        <v>10.0</v>
      </c>
      <c r="K72" s="1">
        <v>3.0</v>
      </c>
      <c r="L72" s="1">
        <v>31.0</v>
      </c>
      <c r="M72" s="1">
        <v>3.0</v>
      </c>
      <c r="N72" s="1">
        <v>6.0</v>
      </c>
      <c r="O72" s="1">
        <v>10.0</v>
      </c>
      <c r="P72" s="2">
        <v>24.0</v>
      </c>
      <c r="Q72" s="2">
        <v>6.0</v>
      </c>
      <c r="R72" s="2">
        <v>30.0</v>
      </c>
      <c r="S72" s="2">
        <v>18.0</v>
      </c>
      <c r="T72" s="1" t="s">
        <v>21</v>
      </c>
    </row>
    <row r="73">
      <c r="E73" s="1" t="s">
        <v>26</v>
      </c>
      <c r="F73" s="1">
        <v>8.0</v>
      </c>
      <c r="G73" s="1">
        <v>25.0</v>
      </c>
      <c r="H73" s="1" t="s">
        <v>21</v>
      </c>
      <c r="I73" s="1">
        <v>12.5</v>
      </c>
      <c r="J73" s="1">
        <v>12.5</v>
      </c>
      <c r="K73" s="1">
        <v>3.0</v>
      </c>
      <c r="L73" s="1">
        <v>31.0</v>
      </c>
      <c r="M73" s="1">
        <v>3.0</v>
      </c>
      <c r="N73" s="1">
        <v>6.0</v>
      </c>
      <c r="O73" s="1">
        <v>10.0</v>
      </c>
      <c r="P73" s="2">
        <v>24.0</v>
      </c>
      <c r="Q73" s="2">
        <v>6.0</v>
      </c>
      <c r="R73" s="2">
        <v>30.0</v>
      </c>
      <c r="S73" s="2">
        <v>18.0</v>
      </c>
      <c r="T73" s="1" t="s">
        <v>21</v>
      </c>
    </row>
    <row r="74">
      <c r="E74" s="1" t="s">
        <v>27</v>
      </c>
      <c r="F74" s="1">
        <v>8.0</v>
      </c>
      <c r="G74" s="1">
        <v>30.0</v>
      </c>
      <c r="H74" s="1" t="s">
        <v>21</v>
      </c>
      <c r="I74" s="1">
        <v>15.0</v>
      </c>
      <c r="J74" s="1">
        <v>15.0</v>
      </c>
      <c r="K74" s="1">
        <v>3.0</v>
      </c>
      <c r="L74" s="1">
        <v>31.0</v>
      </c>
      <c r="M74" s="1">
        <v>3.0</v>
      </c>
      <c r="N74" s="1">
        <v>6.0</v>
      </c>
      <c r="O74" s="1">
        <v>10.0</v>
      </c>
      <c r="P74" s="2">
        <v>24.0</v>
      </c>
      <c r="Q74" s="2">
        <v>6.0</v>
      </c>
      <c r="R74" s="2">
        <v>30.0</v>
      </c>
      <c r="S74" s="2">
        <v>18.0</v>
      </c>
      <c r="T74" s="1" t="s">
        <v>21</v>
      </c>
    </row>
    <row r="75">
      <c r="E75" s="1" t="s">
        <v>28</v>
      </c>
      <c r="F75" s="1">
        <v>8.0</v>
      </c>
      <c r="G75" s="1">
        <v>35.0</v>
      </c>
      <c r="H75" s="1" t="s">
        <v>21</v>
      </c>
      <c r="I75" s="1">
        <v>17.5</v>
      </c>
      <c r="J75" s="1">
        <v>17.5</v>
      </c>
      <c r="K75" s="1">
        <v>3.0</v>
      </c>
      <c r="L75" s="1">
        <v>31.0</v>
      </c>
      <c r="M75" s="1">
        <v>3.0</v>
      </c>
      <c r="N75" s="1">
        <v>6.0</v>
      </c>
      <c r="O75" s="1">
        <v>10.0</v>
      </c>
      <c r="P75" s="2">
        <v>24.0</v>
      </c>
      <c r="Q75" s="2">
        <v>6.0</v>
      </c>
      <c r="R75" s="2">
        <v>30.0</v>
      </c>
      <c r="S75" s="2">
        <v>18.0</v>
      </c>
      <c r="T75" s="1" t="s">
        <v>21</v>
      </c>
    </row>
    <row r="76">
      <c r="E76" s="1" t="s">
        <v>29</v>
      </c>
      <c r="F76" s="1">
        <v>8.0</v>
      </c>
      <c r="G76" s="1">
        <v>40.0</v>
      </c>
      <c r="H76" s="1" t="s">
        <v>21</v>
      </c>
      <c r="I76" s="1">
        <v>20.0</v>
      </c>
      <c r="J76" s="1">
        <v>20.0</v>
      </c>
      <c r="K76" s="1">
        <v>3.0</v>
      </c>
      <c r="L76" s="1">
        <v>31.0</v>
      </c>
      <c r="M76" s="1">
        <v>3.0</v>
      </c>
      <c r="N76" s="1">
        <v>6.0</v>
      </c>
      <c r="O76" s="1">
        <v>10.0</v>
      </c>
      <c r="P76" s="2">
        <v>24.0</v>
      </c>
      <c r="Q76" s="2">
        <v>6.0</v>
      </c>
      <c r="R76" s="2">
        <v>30.0</v>
      </c>
      <c r="S76" s="2">
        <v>18.0</v>
      </c>
      <c r="T76" s="1" t="s">
        <v>21</v>
      </c>
    </row>
    <row r="77">
      <c r="E77" s="1" t="s">
        <v>30</v>
      </c>
      <c r="F77" s="1">
        <v>8.0</v>
      </c>
      <c r="G77" s="1">
        <v>45.0</v>
      </c>
      <c r="H77" s="1" t="s">
        <v>21</v>
      </c>
      <c r="I77" s="1">
        <v>22.5</v>
      </c>
      <c r="J77" s="1">
        <v>22.5</v>
      </c>
      <c r="K77" s="1">
        <v>3.0</v>
      </c>
      <c r="L77" s="1">
        <v>31.0</v>
      </c>
      <c r="M77" s="1">
        <v>3.0</v>
      </c>
      <c r="N77" s="1">
        <v>6.0</v>
      </c>
      <c r="O77" s="1">
        <v>10.0</v>
      </c>
      <c r="P77" s="2">
        <v>24.0</v>
      </c>
      <c r="Q77" s="2">
        <v>6.0</v>
      </c>
      <c r="R77" s="2">
        <v>30.0</v>
      </c>
      <c r="S77" s="2">
        <v>18.0</v>
      </c>
      <c r="T77" s="1" t="s">
        <v>21</v>
      </c>
    </row>
    <row r="78">
      <c r="E78" s="1" t="s">
        <v>32</v>
      </c>
      <c r="F78" s="1">
        <v>0.0</v>
      </c>
      <c r="G78" s="1">
        <v>50.0</v>
      </c>
      <c r="H78" s="1" t="s">
        <v>21</v>
      </c>
      <c r="I78" s="1">
        <v>25.0</v>
      </c>
      <c r="J78" s="1">
        <v>25.0</v>
      </c>
      <c r="K78" s="1">
        <v>3.0</v>
      </c>
      <c r="L78" s="1">
        <v>1.0</v>
      </c>
      <c r="M78" s="1">
        <v>3.0</v>
      </c>
      <c r="N78" s="1">
        <v>6.0</v>
      </c>
      <c r="O78" s="1">
        <v>10.0</v>
      </c>
      <c r="P78" s="2">
        <v>24.0</v>
      </c>
      <c r="Q78" s="2">
        <v>6.0</v>
      </c>
      <c r="R78" s="2">
        <v>30.0</v>
      </c>
      <c r="S78" s="2">
        <v>18.0</v>
      </c>
      <c r="T78" s="1" t="s">
        <v>21</v>
      </c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6.78"/>
    <col customWidth="1" min="2" max="2" width="24.78"/>
    <col customWidth="1" min="3" max="26" width="8.56"/>
  </cols>
  <sheetData>
    <row r="1" ht="15.0" customHeight="1">
      <c r="A1" s="1" t="s">
        <v>34</v>
      </c>
      <c r="B1" s="1" t="s">
        <v>35</v>
      </c>
    </row>
    <row r="2" ht="15.0" customHeight="1">
      <c r="A2" s="1" t="s">
        <v>36</v>
      </c>
      <c r="B2" s="1" t="s">
        <v>37</v>
      </c>
    </row>
    <row r="3" ht="15.0" customHeight="1">
      <c r="A3" s="1" t="s">
        <v>38</v>
      </c>
      <c r="B3" s="1" t="s">
        <v>40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60.78"/>
    <col customWidth="1" min="2" max="2" width="70.78"/>
    <col customWidth="1" min="3" max="26" width="8.56"/>
  </cols>
  <sheetData>
    <row r="1" ht="15.0" customHeight="1">
      <c r="A1" s="1" t="s">
        <v>39</v>
      </c>
      <c r="B1" s="1" t="s">
        <v>41</v>
      </c>
    </row>
    <row r="2" ht="15.0" customHeight="1">
      <c r="A2" s="1" t="s">
        <v>41</v>
      </c>
      <c r="B2" s="1" t="s">
        <v>41</v>
      </c>
    </row>
    <row r="3" ht="15.0" customHeight="1">
      <c r="A3" s="1" t="s">
        <v>42</v>
      </c>
      <c r="B3" s="3" t="s">
        <v>43</v>
      </c>
    </row>
    <row r="4" ht="15.0" customHeight="1">
      <c r="A4" s="1" t="s">
        <v>44</v>
      </c>
      <c r="B4" s="3" t="s">
        <v>45</v>
      </c>
    </row>
    <row r="5" ht="15.0" customHeight="1">
      <c r="A5" s="1" t="s">
        <v>46</v>
      </c>
      <c r="B5" s="3" t="s">
        <v>47</v>
      </c>
    </row>
    <row r="6" ht="15.0" customHeight="1">
      <c r="A6" s="1" t="s">
        <v>41</v>
      </c>
      <c r="B6" s="1" t="s">
        <v>41</v>
      </c>
    </row>
    <row r="7" ht="15.0" customHeight="1">
      <c r="A7" s="1" t="s">
        <v>48</v>
      </c>
      <c r="B7" s="3" t="s">
        <v>49</v>
      </c>
    </row>
    <row r="8" ht="15.0" customHeight="1">
      <c r="A8" s="1" t="s">
        <v>0</v>
      </c>
      <c r="B8" s="3" t="s">
        <v>50</v>
      </c>
    </row>
    <row r="9" ht="15.0" customHeight="1">
      <c r="A9" s="1" t="s">
        <v>4</v>
      </c>
      <c r="B9" s="1" t="s">
        <v>51</v>
      </c>
    </row>
    <row r="10" ht="15.0" customHeight="1">
      <c r="A10" s="1" t="s">
        <v>5</v>
      </c>
      <c r="B10" s="1" t="s">
        <v>52</v>
      </c>
    </row>
    <row r="11" ht="15.0" customHeight="1">
      <c r="A11" s="1" t="s">
        <v>6</v>
      </c>
      <c r="B11" s="3" t="s">
        <v>53</v>
      </c>
    </row>
    <row r="12" ht="15.0" customHeight="1">
      <c r="A12" s="1" t="s">
        <v>8</v>
      </c>
      <c r="B12" s="1" t="s">
        <v>54</v>
      </c>
    </row>
    <row r="13" ht="15.0" customHeight="1">
      <c r="A13" s="1" t="s">
        <v>9</v>
      </c>
      <c r="B13" s="1" t="s">
        <v>55</v>
      </c>
    </row>
    <row r="14" ht="15.0" customHeight="1">
      <c r="A14" s="1" t="s">
        <v>10</v>
      </c>
      <c r="B14" s="3" t="s">
        <v>56</v>
      </c>
    </row>
    <row r="15" ht="15.0" customHeight="1">
      <c r="A15" s="1" t="s">
        <v>11</v>
      </c>
      <c r="B15" s="1" t="s">
        <v>57</v>
      </c>
    </row>
    <row r="16" ht="15.0" customHeight="1">
      <c r="A16" s="1" t="s">
        <v>12</v>
      </c>
      <c r="B16" s="3" t="s">
        <v>58</v>
      </c>
    </row>
    <row r="17" ht="15.0" customHeight="1">
      <c r="A17" s="1" t="s">
        <v>13</v>
      </c>
      <c r="B17" s="1" t="s">
        <v>59</v>
      </c>
    </row>
    <row r="18" ht="15.0" customHeight="1">
      <c r="A18" s="1" t="s">
        <v>60</v>
      </c>
      <c r="B18" s="1" t="s">
        <v>61</v>
      </c>
    </row>
    <row r="19" ht="15.0" customHeight="1">
      <c r="A19" s="1" t="s">
        <v>62</v>
      </c>
      <c r="B19" s="1" t="s">
        <v>63</v>
      </c>
    </row>
    <row r="20" ht="15.0" customHeight="1">
      <c r="A20" s="1" t="s">
        <v>14</v>
      </c>
      <c r="B20" s="1" t="s">
        <v>64</v>
      </c>
    </row>
    <row r="21" ht="15.0" customHeight="1">
      <c r="A21" s="1" t="s">
        <v>15</v>
      </c>
      <c r="B21" s="3" t="s">
        <v>65</v>
      </c>
    </row>
    <row r="22" ht="15.0" customHeight="1">
      <c r="A22" s="1" t="s">
        <v>41</v>
      </c>
      <c r="B22" s="1" t="s">
        <v>41</v>
      </c>
    </row>
    <row r="23" ht="15.0" customHeight="1">
      <c r="A23" s="1" t="s">
        <v>66</v>
      </c>
      <c r="B23" s="3" t="s">
        <v>67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